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-pc\Desktop\New folder (2)\New folder\"/>
    </mc:Choice>
  </mc:AlternateContent>
  <xr:revisionPtr revIDLastSave="0" documentId="8_{EBF56687-ECE8-4618-B4B2-2F387CC0EDA2}" xr6:coauthVersionLast="47" xr6:coauthVersionMax="47" xr10:uidLastSave="{00000000-0000-0000-0000-000000000000}"/>
  <bookViews>
    <workbookView xWindow="-110" yWindow="-110" windowWidth="19420" windowHeight="10300" activeTab="1" xr2:uid="{DCE2515C-BBB8-46BD-963D-7EA92FDD6DF8}"/>
  </bookViews>
  <sheets>
    <sheet name="normal" sheetId="1" r:id="rId1"/>
    <sheet name="modifi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9" i="2" l="1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298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296" i="2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87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89" i="1"/>
  <c r="M10" i="2"/>
  <c r="B2" i="2"/>
  <c r="C2" i="2"/>
  <c r="E2" i="2"/>
  <c r="B2" i="1"/>
  <c r="C2" i="1"/>
  <c r="E2" i="1"/>
  <c r="A3" i="1"/>
  <c r="B3" i="1"/>
  <c r="D2" i="1"/>
  <c r="C3" i="1"/>
  <c r="A4" i="1"/>
  <c r="B4" i="1"/>
  <c r="C4" i="1"/>
  <c r="E4" i="1"/>
  <c r="D4" i="1"/>
  <c r="A5" i="1"/>
  <c r="B5" i="1"/>
  <c r="C5" i="1"/>
  <c r="E5" i="1"/>
  <c r="A6" i="1"/>
  <c r="A3" i="2"/>
  <c r="A4" i="2"/>
  <c r="A5" i="2"/>
  <c r="B5" i="2"/>
  <c r="A6" i="2"/>
  <c r="C5" i="2"/>
  <c r="B4" i="2"/>
  <c r="C4" i="2"/>
  <c r="E4" i="2"/>
  <c r="D2" i="2"/>
  <c r="B3" i="2"/>
  <c r="C3" i="2"/>
  <c r="E3" i="2"/>
  <c r="B6" i="1"/>
  <c r="C6" i="1"/>
  <c r="E6" i="1"/>
  <c r="A7" i="1"/>
  <c r="D5" i="1"/>
  <c r="E3" i="1"/>
  <c r="D3" i="1"/>
  <c r="A7" i="2"/>
  <c r="B6" i="2"/>
  <c r="C6" i="2"/>
  <c r="D4" i="2"/>
  <c r="D3" i="2"/>
  <c r="F3" i="2"/>
  <c r="F4" i="2"/>
  <c r="F5" i="2"/>
  <c r="E5" i="2"/>
  <c r="D5" i="2"/>
  <c r="B7" i="1"/>
  <c r="C7" i="1"/>
  <c r="E7" i="1"/>
  <c r="A8" i="1"/>
  <c r="D6" i="1"/>
  <c r="E6" i="2"/>
  <c r="F6" i="2"/>
  <c r="D6" i="2"/>
  <c r="B7" i="2"/>
  <c r="C7" i="2"/>
  <c r="A8" i="2"/>
  <c r="B8" i="1"/>
  <c r="C8" i="1"/>
  <c r="A9" i="1"/>
  <c r="D7" i="1"/>
  <c r="E7" i="2"/>
  <c r="F7" i="2"/>
  <c r="D7" i="2"/>
  <c r="A9" i="2"/>
  <c r="B8" i="2"/>
  <c r="C8" i="2"/>
  <c r="E8" i="2"/>
  <c r="E8" i="1"/>
  <c r="D8" i="1"/>
  <c r="B9" i="1"/>
  <c r="A10" i="1"/>
  <c r="C9" i="1"/>
  <c r="E9" i="1"/>
  <c r="D9" i="1"/>
  <c r="A10" i="2"/>
  <c r="B9" i="2"/>
  <c r="C9" i="2"/>
  <c r="D8" i="2"/>
  <c r="F8" i="2"/>
  <c r="B10" i="1"/>
  <c r="C10" i="1"/>
  <c r="E10" i="1"/>
  <c r="D10" i="1"/>
  <c r="A11" i="1"/>
  <c r="E9" i="2"/>
  <c r="F9" i="2"/>
  <c r="D9" i="2"/>
  <c r="C10" i="2"/>
  <c r="E10" i="2"/>
  <c r="B10" i="2"/>
  <c r="A11" i="2"/>
  <c r="B11" i="1"/>
  <c r="A12" i="1"/>
  <c r="C11" i="1"/>
  <c r="E11" i="1"/>
  <c r="B11" i="2"/>
  <c r="C11" i="2"/>
  <c r="A12" i="2"/>
  <c r="D10" i="2"/>
  <c r="F10" i="2"/>
  <c r="B12" i="1"/>
  <c r="A13" i="1"/>
  <c r="C12" i="1"/>
  <c r="E12" i="1"/>
  <c r="D11" i="1"/>
  <c r="E11" i="2"/>
  <c r="F11" i="2"/>
  <c r="D11" i="2"/>
  <c r="B12" i="2"/>
  <c r="C12" i="2"/>
  <c r="E12" i="2"/>
  <c r="A13" i="2"/>
  <c r="B13" i="1"/>
  <c r="C13" i="1"/>
  <c r="A14" i="1"/>
  <c r="D12" i="1"/>
  <c r="A14" i="2"/>
  <c r="B13" i="2"/>
  <c r="C13" i="2"/>
  <c r="D12" i="2"/>
  <c r="F12" i="2"/>
  <c r="E13" i="1"/>
  <c r="D13" i="1"/>
  <c r="B14" i="1"/>
  <c r="C14" i="1"/>
  <c r="E14" i="1"/>
  <c r="D14" i="1"/>
  <c r="A15" i="1"/>
  <c r="F13" i="2"/>
  <c r="E13" i="2"/>
  <c r="D13" i="2"/>
  <c r="A15" i="2"/>
  <c r="B14" i="2"/>
  <c r="C14" i="2"/>
  <c r="B15" i="1"/>
  <c r="D15" i="1"/>
  <c r="C15" i="1"/>
  <c r="E15" i="1"/>
  <c r="A16" i="1"/>
  <c r="E14" i="2"/>
  <c r="D14" i="2"/>
  <c r="F14" i="2"/>
  <c r="C15" i="2"/>
  <c r="E15" i="2"/>
  <c r="B15" i="2"/>
  <c r="A16" i="2"/>
  <c r="B16" i="1"/>
  <c r="A17" i="1"/>
  <c r="C16" i="1"/>
  <c r="E16" i="1"/>
  <c r="D16" i="1"/>
  <c r="B16" i="2"/>
  <c r="C16" i="2"/>
  <c r="A17" i="2"/>
  <c r="D15" i="2"/>
  <c r="F15" i="2"/>
  <c r="B17" i="1"/>
  <c r="C17" i="1"/>
  <c r="E17" i="1"/>
  <c r="D17" i="1"/>
  <c r="A18" i="1"/>
  <c r="E16" i="2"/>
  <c r="F16" i="2"/>
  <c r="D16" i="2"/>
  <c r="A18" i="2"/>
  <c r="B17" i="2"/>
  <c r="C17" i="2"/>
  <c r="E17" i="2"/>
  <c r="B18" i="1"/>
  <c r="C18" i="1"/>
  <c r="E18" i="1"/>
  <c r="A19" i="1"/>
  <c r="A19" i="2"/>
  <c r="B18" i="2"/>
  <c r="C18" i="2"/>
  <c r="D17" i="2"/>
  <c r="F17" i="2"/>
  <c r="B19" i="1"/>
  <c r="C19" i="1"/>
  <c r="E19" i="1"/>
  <c r="A20" i="1"/>
  <c r="D18" i="1"/>
  <c r="E18" i="2"/>
  <c r="D18" i="2"/>
  <c r="F18" i="2"/>
  <c r="C19" i="2"/>
  <c r="E19" i="2"/>
  <c r="B19" i="2"/>
  <c r="A20" i="2"/>
  <c r="D19" i="1"/>
  <c r="B20" i="1"/>
  <c r="C20" i="1"/>
  <c r="A21" i="1"/>
  <c r="D19" i="2"/>
  <c r="F19" i="2"/>
  <c r="B20" i="2"/>
  <c r="C20" i="2"/>
  <c r="A21" i="2"/>
  <c r="E20" i="1"/>
  <c r="D20" i="1"/>
  <c r="B21" i="1"/>
  <c r="C21" i="1"/>
  <c r="E21" i="1"/>
  <c r="A22" i="1"/>
  <c r="E20" i="2"/>
  <c r="D20" i="2"/>
  <c r="F20" i="2"/>
  <c r="A22" i="2"/>
  <c r="B21" i="2"/>
  <c r="C21" i="2"/>
  <c r="E21" i="2"/>
  <c r="B22" i="1"/>
  <c r="C22" i="1"/>
  <c r="E22" i="1"/>
  <c r="D22" i="1"/>
  <c r="A23" i="1"/>
  <c r="D21" i="1"/>
  <c r="A23" i="2"/>
  <c r="B22" i="2"/>
  <c r="C22" i="2"/>
  <c r="D21" i="2"/>
  <c r="F21" i="2"/>
  <c r="B23" i="1"/>
  <c r="C23" i="1"/>
  <c r="E23" i="1"/>
  <c r="A24" i="1"/>
  <c r="E22" i="2"/>
  <c r="F22" i="2"/>
  <c r="D22" i="2"/>
  <c r="C23" i="2"/>
  <c r="E23" i="2"/>
  <c r="B23" i="2"/>
  <c r="A24" i="2"/>
  <c r="D23" i="1"/>
  <c r="B24" i="1"/>
  <c r="C24" i="1"/>
  <c r="A25" i="1"/>
  <c r="B24" i="2"/>
  <c r="C24" i="2"/>
  <c r="E24" i="2"/>
  <c r="A25" i="2"/>
  <c r="D23" i="2"/>
  <c r="F23" i="2"/>
  <c r="E24" i="1"/>
  <c r="D24" i="1"/>
  <c r="B25" i="1"/>
  <c r="C25" i="1"/>
  <c r="A26" i="1"/>
  <c r="A26" i="2"/>
  <c r="B25" i="2"/>
  <c r="C25" i="2"/>
  <c r="D24" i="2"/>
  <c r="F24" i="2"/>
  <c r="E25" i="1"/>
  <c r="D25" i="1"/>
  <c r="B26" i="1"/>
  <c r="C26" i="1"/>
  <c r="E26" i="1"/>
  <c r="A27" i="1"/>
  <c r="E25" i="2"/>
  <c r="F25" i="2"/>
  <c r="D25" i="2"/>
  <c r="C26" i="2"/>
  <c r="E26" i="2"/>
  <c r="A27" i="2"/>
  <c r="B26" i="2"/>
  <c r="B27" i="1"/>
  <c r="A28" i="1"/>
  <c r="C27" i="1"/>
  <c r="E27" i="1"/>
  <c r="D26" i="1"/>
  <c r="F26" i="2"/>
  <c r="D26" i="2"/>
  <c r="B27" i="2"/>
  <c r="C27" i="2"/>
  <c r="A28" i="2"/>
  <c r="B28" i="1"/>
  <c r="A29" i="1"/>
  <c r="C28" i="1"/>
  <c r="E28" i="1"/>
  <c r="D28" i="1"/>
  <c r="D27" i="1"/>
  <c r="E27" i="2"/>
  <c r="D27" i="2"/>
  <c r="B28" i="2"/>
  <c r="C28" i="2"/>
  <c r="E28" i="2"/>
  <c r="A29" i="2"/>
  <c r="F27" i="2"/>
  <c r="B29" i="1"/>
  <c r="C29" i="1"/>
  <c r="A30" i="1"/>
  <c r="A30" i="2"/>
  <c r="B29" i="2"/>
  <c r="C29" i="2"/>
  <c r="D28" i="2"/>
  <c r="F28" i="2"/>
  <c r="E29" i="1"/>
  <c r="D29" i="1"/>
  <c r="B30" i="1"/>
  <c r="C30" i="1"/>
  <c r="E30" i="1"/>
  <c r="A31" i="1"/>
  <c r="E29" i="2"/>
  <c r="F29" i="2"/>
  <c r="D29" i="2"/>
  <c r="A31" i="2"/>
  <c r="B30" i="2"/>
  <c r="C30" i="2"/>
  <c r="B31" i="1"/>
  <c r="C31" i="1"/>
  <c r="E31" i="1"/>
  <c r="A32" i="1"/>
  <c r="D30" i="1"/>
  <c r="E30" i="2"/>
  <c r="D30" i="2"/>
  <c r="F30" i="2"/>
  <c r="C31" i="2"/>
  <c r="E31" i="2"/>
  <c r="A32" i="2"/>
  <c r="B31" i="2"/>
  <c r="D31" i="1"/>
  <c r="B32" i="1"/>
  <c r="C32" i="1"/>
  <c r="A33" i="1"/>
  <c r="D31" i="2"/>
  <c r="F31" i="2"/>
  <c r="B32" i="2"/>
  <c r="C32" i="2"/>
  <c r="E32" i="2"/>
  <c r="A33" i="2"/>
  <c r="E32" i="1"/>
  <c r="D32" i="1"/>
  <c r="B33" i="1"/>
  <c r="C33" i="1"/>
  <c r="E33" i="1"/>
  <c r="A34" i="1"/>
  <c r="D32" i="2"/>
  <c r="F32" i="2"/>
  <c r="F33" i="2"/>
  <c r="A34" i="2"/>
  <c r="D33" i="2"/>
  <c r="B33" i="2"/>
  <c r="C33" i="2"/>
  <c r="E33" i="2"/>
  <c r="B34" i="1"/>
  <c r="C34" i="1"/>
  <c r="E34" i="1"/>
  <c r="A35" i="1"/>
  <c r="D34" i="1"/>
  <c r="D33" i="1"/>
  <c r="A35" i="2"/>
  <c r="C34" i="2"/>
  <c r="E34" i="2"/>
  <c r="B34" i="2"/>
  <c r="B35" i="1"/>
  <c r="C35" i="1"/>
  <c r="E35" i="1"/>
  <c r="A36" i="1"/>
  <c r="D34" i="2"/>
  <c r="F34" i="2"/>
  <c r="B35" i="2"/>
  <c r="C35" i="2"/>
  <c r="A36" i="2"/>
  <c r="D35" i="1"/>
  <c r="B36" i="1"/>
  <c r="C36" i="1"/>
  <c r="A37" i="1"/>
  <c r="E35" i="2"/>
  <c r="D35" i="2"/>
  <c r="F35" i="2"/>
  <c r="B36" i="2"/>
  <c r="C36" i="2"/>
  <c r="A37" i="2"/>
  <c r="E36" i="1"/>
  <c r="D36" i="1"/>
  <c r="B37" i="1"/>
  <c r="C37" i="1"/>
  <c r="E37" i="1"/>
  <c r="A38" i="1"/>
  <c r="E36" i="2"/>
  <c r="D36" i="2"/>
  <c r="A38" i="2"/>
  <c r="D37" i="2"/>
  <c r="B37" i="2"/>
  <c r="C37" i="2"/>
  <c r="E37" i="2"/>
  <c r="F36" i="2"/>
  <c r="B38" i="1"/>
  <c r="C38" i="1"/>
  <c r="E38" i="1"/>
  <c r="D38" i="1"/>
  <c r="A39" i="1"/>
  <c r="D37" i="1"/>
  <c r="F37" i="2"/>
  <c r="A39" i="2"/>
  <c r="C38" i="2"/>
  <c r="E38" i="2"/>
  <c r="B38" i="2"/>
  <c r="B39" i="1"/>
  <c r="C39" i="1"/>
  <c r="E39" i="1"/>
  <c r="A40" i="1"/>
  <c r="D38" i="2"/>
  <c r="A40" i="2"/>
  <c r="B39" i="2"/>
  <c r="C39" i="2"/>
  <c r="F38" i="2"/>
  <c r="D39" i="1"/>
  <c r="B40" i="1"/>
  <c r="C40" i="1"/>
  <c r="A41" i="1"/>
  <c r="E39" i="2"/>
  <c r="D39" i="2"/>
  <c r="B40" i="2"/>
  <c r="C40" i="2"/>
  <c r="A41" i="2"/>
  <c r="F39" i="2"/>
  <c r="E40" i="1"/>
  <c r="D40" i="1"/>
  <c r="B41" i="1"/>
  <c r="C41" i="1"/>
  <c r="A42" i="1"/>
  <c r="E40" i="2"/>
  <c r="D40" i="2"/>
  <c r="F40" i="2"/>
  <c r="A42" i="2"/>
  <c r="B41" i="2"/>
  <c r="C41" i="2"/>
  <c r="E41" i="2"/>
  <c r="E41" i="1"/>
  <c r="D41" i="1"/>
  <c r="B42" i="1"/>
  <c r="C42" i="1"/>
  <c r="E42" i="1"/>
  <c r="A43" i="1"/>
  <c r="A43" i="2"/>
  <c r="B42" i="2"/>
  <c r="C42" i="2"/>
  <c r="E42" i="2"/>
  <c r="D41" i="2"/>
  <c r="F41" i="2"/>
  <c r="B43" i="1"/>
  <c r="A44" i="1"/>
  <c r="C43" i="1"/>
  <c r="E43" i="1"/>
  <c r="D42" i="1"/>
  <c r="D42" i="2"/>
  <c r="F42" i="2"/>
  <c r="A44" i="2"/>
  <c r="B43" i="2"/>
  <c r="C43" i="2"/>
  <c r="B44" i="1"/>
  <c r="C44" i="1"/>
  <c r="E44" i="1"/>
  <c r="D44" i="1"/>
  <c r="A45" i="1"/>
  <c r="D43" i="1"/>
  <c r="E43" i="2"/>
  <c r="D43" i="2"/>
  <c r="F43" i="2"/>
  <c r="B44" i="2"/>
  <c r="C44" i="2"/>
  <c r="A45" i="2"/>
  <c r="B45" i="1"/>
  <c r="C45" i="1"/>
  <c r="E45" i="1"/>
  <c r="D45" i="1"/>
  <c r="A46" i="1"/>
  <c r="E44" i="2"/>
  <c r="D44" i="2"/>
  <c r="B45" i="2"/>
  <c r="C45" i="2"/>
  <c r="E45" i="2"/>
  <c r="A46" i="2"/>
  <c r="F44" i="2"/>
  <c r="B46" i="1"/>
  <c r="C46" i="1"/>
  <c r="A47" i="1"/>
  <c r="B46" i="2"/>
  <c r="C46" i="2"/>
  <c r="E46" i="2"/>
  <c r="D46" i="2"/>
  <c r="A47" i="2"/>
  <c r="D45" i="2"/>
  <c r="F45" i="2"/>
  <c r="F46" i="2"/>
  <c r="E46" i="1"/>
  <c r="D46" i="1"/>
  <c r="B47" i="1"/>
  <c r="C47" i="1"/>
  <c r="A48" i="1"/>
  <c r="B47" i="2"/>
  <c r="C47" i="2"/>
  <c r="A48" i="2"/>
  <c r="E47" i="1"/>
  <c r="D47" i="1"/>
  <c r="B48" i="1"/>
  <c r="C48" i="1"/>
  <c r="E48" i="1"/>
  <c r="A49" i="1"/>
  <c r="E47" i="2"/>
  <c r="D47" i="2"/>
  <c r="B48" i="2"/>
  <c r="C48" i="2"/>
  <c r="A49" i="2"/>
  <c r="B49" i="1"/>
  <c r="C49" i="1"/>
  <c r="A50" i="1"/>
  <c r="D48" i="1"/>
  <c r="E48" i="2"/>
  <c r="D48" i="2"/>
  <c r="B49" i="2"/>
  <c r="C49" i="2"/>
  <c r="A50" i="2"/>
  <c r="F47" i="2"/>
  <c r="F48" i="2"/>
  <c r="E49" i="1"/>
  <c r="D49" i="1"/>
  <c r="B50" i="1"/>
  <c r="C50" i="1"/>
  <c r="A51" i="1"/>
  <c r="E49" i="2"/>
  <c r="D49" i="2"/>
  <c r="F49" i="2"/>
  <c r="B50" i="2"/>
  <c r="C50" i="2"/>
  <c r="A51" i="2"/>
  <c r="E50" i="1"/>
  <c r="D50" i="1"/>
  <c r="B51" i="1"/>
  <c r="C51" i="1"/>
  <c r="A52" i="1"/>
  <c r="E50" i="2"/>
  <c r="D50" i="2"/>
  <c r="F50" i="2"/>
  <c r="B51" i="2"/>
  <c r="C51" i="2"/>
  <c r="A52" i="2"/>
  <c r="E51" i="1"/>
  <c r="D51" i="1"/>
  <c r="B52" i="1"/>
  <c r="C52" i="1"/>
  <c r="A53" i="1"/>
  <c r="E51" i="2"/>
  <c r="D51" i="2"/>
  <c r="B52" i="2"/>
  <c r="C52" i="2"/>
  <c r="A53" i="2"/>
  <c r="F51" i="2"/>
  <c r="E52" i="1"/>
  <c r="D52" i="1"/>
  <c r="B53" i="1"/>
  <c r="C53" i="1"/>
  <c r="E53" i="1"/>
  <c r="A54" i="1"/>
  <c r="E52" i="2"/>
  <c r="D52" i="2"/>
  <c r="F52" i="2"/>
  <c r="B53" i="2"/>
  <c r="C53" i="2"/>
  <c r="A54" i="2"/>
  <c r="B54" i="1"/>
  <c r="C54" i="1"/>
  <c r="A55" i="1"/>
  <c r="D53" i="1"/>
  <c r="E53" i="2"/>
  <c r="D53" i="2"/>
  <c r="F53" i="2"/>
  <c r="C54" i="2"/>
  <c r="E54" i="2"/>
  <c r="B54" i="2"/>
  <c r="A55" i="2"/>
  <c r="E54" i="1"/>
  <c r="D54" i="1"/>
  <c r="B55" i="1"/>
  <c r="A56" i="1"/>
  <c r="C55" i="1"/>
  <c r="E55" i="1"/>
  <c r="D54" i="2"/>
  <c r="B55" i="2"/>
  <c r="A56" i="2"/>
  <c r="C55" i="2"/>
  <c r="E55" i="2"/>
  <c r="F54" i="2"/>
  <c r="B56" i="1"/>
  <c r="C56" i="1"/>
  <c r="E56" i="1"/>
  <c r="D56" i="1"/>
  <c r="A57" i="1"/>
  <c r="D55" i="1"/>
  <c r="B56" i="2"/>
  <c r="C56" i="2"/>
  <c r="A57" i="2"/>
  <c r="D55" i="2"/>
  <c r="F55" i="2"/>
  <c r="B57" i="1"/>
  <c r="C57" i="1"/>
  <c r="A58" i="1"/>
  <c r="E56" i="2"/>
  <c r="F56" i="2"/>
  <c r="D56" i="2"/>
  <c r="C57" i="2"/>
  <c r="E57" i="2"/>
  <c r="B57" i="2"/>
  <c r="A58" i="2"/>
  <c r="E57" i="1"/>
  <c r="D57" i="1"/>
  <c r="B58" i="1"/>
  <c r="D58" i="1"/>
  <c r="A59" i="1"/>
  <c r="C58" i="1"/>
  <c r="E58" i="1"/>
  <c r="B58" i="2"/>
  <c r="C58" i="2"/>
  <c r="A59" i="2"/>
  <c r="D57" i="2"/>
  <c r="F57" i="2"/>
  <c r="B59" i="1"/>
  <c r="A60" i="1"/>
  <c r="C59" i="1"/>
  <c r="E59" i="1"/>
  <c r="E58" i="2"/>
  <c r="F58" i="2"/>
  <c r="D58" i="2"/>
  <c r="B59" i="2"/>
  <c r="C59" i="2"/>
  <c r="A60" i="2"/>
  <c r="B60" i="1"/>
  <c r="C60" i="1"/>
  <c r="A61" i="1"/>
  <c r="D59" i="1"/>
  <c r="E59" i="2"/>
  <c r="D59" i="2"/>
  <c r="F59" i="2"/>
  <c r="A61" i="2"/>
  <c r="B60" i="2"/>
  <c r="C60" i="2"/>
  <c r="E60" i="1"/>
  <c r="D60" i="1"/>
  <c r="B61" i="1"/>
  <c r="C61" i="1"/>
  <c r="E61" i="1"/>
  <c r="A62" i="1"/>
  <c r="E60" i="2"/>
  <c r="D60" i="2"/>
  <c r="F60" i="2"/>
  <c r="A62" i="2"/>
  <c r="B61" i="2"/>
  <c r="C61" i="2"/>
  <c r="B62" i="1"/>
  <c r="A63" i="1"/>
  <c r="C62" i="1"/>
  <c r="E62" i="1"/>
  <c r="D61" i="1"/>
  <c r="E61" i="2"/>
  <c r="D61" i="2"/>
  <c r="F61" i="2"/>
  <c r="C62" i="2"/>
  <c r="E62" i="2"/>
  <c r="A63" i="2"/>
  <c r="B62" i="2"/>
  <c r="B63" i="1"/>
  <c r="A64" i="1"/>
  <c r="C63" i="1"/>
  <c r="E63" i="1"/>
  <c r="D63" i="1"/>
  <c r="D62" i="1"/>
  <c r="A64" i="2"/>
  <c r="C63" i="2"/>
  <c r="E63" i="2"/>
  <c r="B63" i="2"/>
  <c r="D62" i="2"/>
  <c r="F62" i="2"/>
  <c r="B64" i="1"/>
  <c r="C64" i="1"/>
  <c r="E64" i="1"/>
  <c r="D64" i="1"/>
  <c r="A65" i="1"/>
  <c r="A65" i="2"/>
  <c r="C64" i="2"/>
  <c r="E64" i="2"/>
  <c r="B64" i="2"/>
  <c r="D63" i="2"/>
  <c r="F63" i="2"/>
  <c r="B65" i="1"/>
  <c r="C65" i="1"/>
  <c r="E65" i="1"/>
  <c r="D65" i="1"/>
  <c r="A66" i="1"/>
  <c r="D64" i="2"/>
  <c r="F64" i="2"/>
  <c r="B65" i="2"/>
  <c r="C65" i="2"/>
  <c r="A66" i="2"/>
  <c r="B66" i="1"/>
  <c r="C66" i="1"/>
  <c r="A67" i="1"/>
  <c r="E65" i="2"/>
  <c r="D65" i="2"/>
  <c r="F65" i="2"/>
  <c r="B66" i="2"/>
  <c r="C66" i="2"/>
  <c r="A67" i="2"/>
  <c r="E66" i="1"/>
  <c r="D66" i="1"/>
  <c r="B67" i="1"/>
  <c r="A68" i="1"/>
  <c r="C67" i="1"/>
  <c r="E67" i="1"/>
  <c r="E66" i="2"/>
  <c r="D66" i="2"/>
  <c r="F66" i="2"/>
  <c r="C67" i="2"/>
  <c r="E67" i="2"/>
  <c r="B67" i="2"/>
  <c r="A68" i="2"/>
  <c r="B68" i="1"/>
  <c r="C68" i="1"/>
  <c r="A69" i="1"/>
  <c r="D67" i="1"/>
  <c r="D67" i="2"/>
  <c r="F67" i="2"/>
  <c r="A69" i="2"/>
  <c r="B68" i="2"/>
  <c r="C68" i="2"/>
  <c r="E68" i="1"/>
  <c r="D68" i="1"/>
  <c r="B69" i="1"/>
  <c r="C69" i="1"/>
  <c r="E69" i="1"/>
  <c r="A70" i="1"/>
  <c r="E68" i="2"/>
  <c r="D68" i="2"/>
  <c r="B69" i="2"/>
  <c r="C69" i="2"/>
  <c r="A70" i="2"/>
  <c r="B70" i="1"/>
  <c r="A71" i="1"/>
  <c r="C70" i="1"/>
  <c r="E70" i="1"/>
  <c r="D69" i="1"/>
  <c r="E69" i="2"/>
  <c r="D69" i="2"/>
  <c r="B70" i="2"/>
  <c r="C70" i="2"/>
  <c r="A71" i="2"/>
  <c r="B71" i="1"/>
  <c r="A72" i="1"/>
  <c r="C71" i="1"/>
  <c r="E71" i="1"/>
  <c r="D71" i="1"/>
  <c r="D70" i="1"/>
  <c r="E70" i="2"/>
  <c r="D70" i="2"/>
  <c r="B71" i="2"/>
  <c r="C71" i="2"/>
  <c r="A72" i="2"/>
  <c r="B72" i="1"/>
  <c r="C72" i="1"/>
  <c r="A73" i="1"/>
  <c r="E71" i="2"/>
  <c r="D71" i="2"/>
  <c r="B72" i="2"/>
  <c r="C72" i="2"/>
  <c r="A73" i="2"/>
  <c r="E72" i="1"/>
  <c r="D72" i="1"/>
  <c r="B73" i="1"/>
  <c r="C73" i="1"/>
  <c r="E73" i="1"/>
  <c r="A74" i="1"/>
  <c r="E72" i="2"/>
  <c r="D72" i="2"/>
  <c r="B73" i="2"/>
  <c r="C73" i="2"/>
  <c r="A74" i="2"/>
  <c r="B74" i="1"/>
  <c r="C74" i="1"/>
  <c r="A75" i="1"/>
  <c r="D73" i="1"/>
  <c r="E73" i="2"/>
  <c r="D73" i="2"/>
  <c r="A75" i="2"/>
  <c r="B74" i="2"/>
  <c r="C74" i="2"/>
  <c r="E74" i="1"/>
  <c r="D74" i="1"/>
  <c r="B75" i="1"/>
  <c r="A76" i="1"/>
  <c r="C75" i="1"/>
  <c r="E75" i="1"/>
  <c r="E74" i="2"/>
  <c r="D74" i="2"/>
  <c r="A76" i="2"/>
  <c r="C75" i="2"/>
  <c r="E75" i="2"/>
  <c r="B75" i="2"/>
  <c r="B76" i="1"/>
  <c r="C76" i="1"/>
  <c r="E76" i="1"/>
  <c r="D76" i="1"/>
  <c r="A77" i="1"/>
  <c r="D75" i="1"/>
  <c r="B76" i="2"/>
  <c r="C76" i="2"/>
  <c r="A77" i="2"/>
  <c r="D75" i="2"/>
  <c r="B77" i="1"/>
  <c r="C77" i="1"/>
  <c r="E77" i="1"/>
  <c r="D77" i="1"/>
  <c r="A78" i="1"/>
  <c r="E76" i="2"/>
  <c r="D76" i="2"/>
  <c r="A78" i="2"/>
  <c r="B77" i="2"/>
  <c r="C77" i="2"/>
  <c r="B78" i="1"/>
  <c r="A79" i="1"/>
  <c r="C78" i="1"/>
  <c r="E78" i="1"/>
  <c r="E77" i="2"/>
  <c r="D77" i="2"/>
  <c r="B78" i="2"/>
  <c r="C78" i="2"/>
  <c r="E78" i="2"/>
  <c r="A79" i="2"/>
  <c r="B79" i="1"/>
  <c r="A80" i="1"/>
  <c r="C79" i="1"/>
  <c r="E79" i="1"/>
  <c r="D79" i="1"/>
  <c r="D78" i="1"/>
  <c r="D78" i="2"/>
  <c r="C79" i="2"/>
  <c r="E79" i="2"/>
  <c r="A80" i="2"/>
  <c r="B79" i="2"/>
  <c r="B80" i="1"/>
  <c r="C80" i="1"/>
  <c r="E80" i="1"/>
  <c r="D80" i="1"/>
  <c r="A81" i="1"/>
  <c r="A81" i="2"/>
  <c r="B80" i="2"/>
  <c r="C80" i="2"/>
  <c r="D79" i="2"/>
  <c r="B81" i="1"/>
  <c r="C81" i="1"/>
  <c r="A82" i="1"/>
  <c r="E80" i="2"/>
  <c r="D80" i="2"/>
  <c r="A82" i="2"/>
  <c r="B81" i="2"/>
  <c r="C81" i="2"/>
  <c r="E81" i="1"/>
  <c r="D81" i="1"/>
  <c r="B82" i="1"/>
  <c r="C82" i="1"/>
  <c r="A83" i="1"/>
  <c r="E81" i="2"/>
  <c r="D81" i="2"/>
  <c r="B82" i="2"/>
  <c r="C82" i="2"/>
  <c r="A83" i="2"/>
  <c r="E82" i="1"/>
  <c r="D82" i="1"/>
  <c r="B83" i="1"/>
  <c r="C83" i="1"/>
  <c r="A84" i="1"/>
  <c r="E82" i="2"/>
  <c r="D82" i="2"/>
  <c r="A84" i="2"/>
  <c r="B83" i="2"/>
  <c r="C83" i="2"/>
  <c r="E83" i="1"/>
  <c r="D83" i="1"/>
  <c r="B84" i="1"/>
  <c r="C84" i="1"/>
  <c r="E84" i="1"/>
  <c r="A85" i="1"/>
  <c r="E83" i="2"/>
  <c r="D83" i="2"/>
  <c r="B84" i="2"/>
  <c r="C84" i="2"/>
  <c r="E84" i="2"/>
  <c r="A85" i="2"/>
  <c r="B85" i="1"/>
  <c r="C85" i="1"/>
  <c r="E85" i="1"/>
  <c r="D85" i="1"/>
  <c r="A86" i="1"/>
  <c r="D84" i="1"/>
  <c r="D84" i="2"/>
  <c r="B85" i="2"/>
  <c r="C85" i="2"/>
  <c r="A86" i="2"/>
  <c r="B86" i="1"/>
  <c r="A87" i="1"/>
  <c r="C86" i="1"/>
  <c r="E86" i="1"/>
  <c r="E85" i="2"/>
  <c r="D85" i="2"/>
  <c r="B86" i="2"/>
  <c r="C86" i="2"/>
  <c r="A87" i="2"/>
  <c r="B87" i="1"/>
  <c r="A88" i="1"/>
  <c r="C87" i="1"/>
  <c r="E87" i="1"/>
  <c r="D86" i="1"/>
  <c r="E86" i="2"/>
  <c r="D86" i="2"/>
  <c r="B87" i="2"/>
  <c r="C87" i="2"/>
  <c r="A88" i="2"/>
  <c r="B88" i="1"/>
  <c r="C88" i="1"/>
  <c r="E88" i="1"/>
  <c r="F88" i="1"/>
  <c r="D88" i="1"/>
  <c r="A89" i="1"/>
  <c r="D87" i="1"/>
  <c r="E87" i="2"/>
  <c r="D87" i="2"/>
  <c r="C88" i="2"/>
  <c r="E88" i="2"/>
  <c r="A89" i="2"/>
  <c r="B88" i="2"/>
  <c r="B89" i="1"/>
  <c r="C89" i="1"/>
  <c r="E89" i="1"/>
  <c r="D89" i="1"/>
  <c r="A90" i="1"/>
  <c r="D88" i="2"/>
  <c r="C89" i="2"/>
  <c r="E89" i="2"/>
  <c r="A90" i="2"/>
  <c r="B89" i="2"/>
  <c r="B90" i="1"/>
  <c r="A91" i="1"/>
  <c r="C90" i="1"/>
  <c r="E90" i="1"/>
  <c r="A91" i="2"/>
  <c r="B90" i="2"/>
  <c r="C90" i="2"/>
  <c r="D89" i="2"/>
  <c r="B91" i="1"/>
  <c r="A92" i="1"/>
  <c r="C91" i="1"/>
  <c r="E91" i="1"/>
  <c r="D91" i="1"/>
  <c r="D90" i="1"/>
  <c r="E90" i="2"/>
  <c r="D90" i="2"/>
  <c r="A92" i="2"/>
  <c r="C91" i="2"/>
  <c r="E91" i="2"/>
  <c r="B91" i="2"/>
  <c r="B92" i="1"/>
  <c r="C92" i="1"/>
  <c r="E92" i="1"/>
  <c r="D92" i="1"/>
  <c r="A93" i="1"/>
  <c r="B92" i="2"/>
  <c r="A93" i="2"/>
  <c r="C92" i="2"/>
  <c r="E92" i="2"/>
  <c r="D91" i="2"/>
  <c r="B93" i="1"/>
  <c r="C93" i="1"/>
  <c r="A94" i="1"/>
  <c r="A94" i="2"/>
  <c r="B93" i="2"/>
  <c r="C93" i="2"/>
  <c r="D92" i="2"/>
  <c r="E93" i="1"/>
  <c r="D93" i="1"/>
  <c r="B94" i="1"/>
  <c r="C94" i="1"/>
  <c r="A95" i="1"/>
  <c r="E93" i="2"/>
  <c r="D93" i="2"/>
  <c r="C94" i="2"/>
  <c r="E94" i="2"/>
  <c r="D94" i="2"/>
  <c r="A95" i="2"/>
  <c r="B94" i="2"/>
  <c r="E94" i="1"/>
  <c r="D94" i="1"/>
  <c r="B95" i="1"/>
  <c r="A96" i="1"/>
  <c r="C95" i="1"/>
  <c r="E95" i="1"/>
  <c r="A96" i="2"/>
  <c r="C95" i="2"/>
  <c r="E95" i="2"/>
  <c r="B95" i="2"/>
  <c r="B96" i="1"/>
  <c r="C96" i="1"/>
  <c r="E96" i="1"/>
  <c r="A97" i="1"/>
  <c r="D95" i="1"/>
  <c r="D95" i="2"/>
  <c r="A97" i="2"/>
  <c r="C96" i="2"/>
  <c r="E96" i="2"/>
  <c r="D96" i="2"/>
  <c r="B96" i="2"/>
  <c r="B97" i="1"/>
  <c r="C97" i="1"/>
  <c r="E97" i="1"/>
  <c r="D97" i="1"/>
  <c r="A98" i="1"/>
  <c r="D96" i="1"/>
  <c r="A98" i="2"/>
  <c r="B97" i="2"/>
  <c r="C97" i="2"/>
  <c r="E97" i="2"/>
  <c r="D97" i="2"/>
  <c r="B98" i="1"/>
  <c r="A99" i="1"/>
  <c r="C98" i="1"/>
  <c r="E98" i="1"/>
  <c r="B98" i="2"/>
  <c r="C98" i="2"/>
  <c r="A99" i="2"/>
  <c r="B99" i="1"/>
  <c r="A100" i="1"/>
  <c r="C99" i="1"/>
  <c r="E99" i="1"/>
  <c r="D98" i="1"/>
  <c r="E98" i="2"/>
  <c r="D98" i="2"/>
  <c r="B99" i="2"/>
  <c r="C99" i="2"/>
  <c r="A100" i="2"/>
  <c r="B100" i="1"/>
  <c r="A101" i="1"/>
  <c r="C100" i="1"/>
  <c r="E100" i="1"/>
  <c r="D99" i="1"/>
  <c r="E99" i="2"/>
  <c r="D99" i="2"/>
  <c r="B100" i="2"/>
  <c r="C100" i="2"/>
  <c r="E100" i="2"/>
  <c r="A101" i="2"/>
  <c r="B101" i="1"/>
  <c r="A102" i="1"/>
  <c r="C101" i="1"/>
  <c r="E101" i="1"/>
  <c r="D100" i="1"/>
  <c r="A102" i="2"/>
  <c r="B101" i="2"/>
  <c r="C101" i="2"/>
  <c r="D100" i="2"/>
  <c r="B102" i="1"/>
  <c r="C102" i="1"/>
  <c r="E102" i="1"/>
  <c r="D102" i="1"/>
  <c r="A103" i="1"/>
  <c r="D101" i="1"/>
  <c r="E101" i="2"/>
  <c r="D101" i="2"/>
  <c r="B102" i="2"/>
  <c r="C102" i="2"/>
  <c r="A103" i="2"/>
  <c r="B103" i="1"/>
  <c r="A104" i="1"/>
  <c r="C103" i="1"/>
  <c r="E103" i="1"/>
  <c r="E102" i="2"/>
  <c r="D102" i="2"/>
  <c r="A104" i="2"/>
  <c r="B103" i="2"/>
  <c r="C103" i="2"/>
  <c r="B104" i="1"/>
  <c r="C104" i="1"/>
  <c r="A105" i="1"/>
  <c r="D103" i="1"/>
  <c r="E103" i="2"/>
  <c r="D103" i="2"/>
  <c r="B104" i="2"/>
  <c r="C104" i="2"/>
  <c r="A105" i="2"/>
  <c r="E104" i="1"/>
  <c r="D104" i="1"/>
  <c r="B105" i="1"/>
  <c r="C105" i="1"/>
  <c r="E105" i="1"/>
  <c r="A106" i="1"/>
  <c r="E104" i="2"/>
  <c r="D104" i="2"/>
  <c r="B105" i="2"/>
  <c r="C105" i="2"/>
  <c r="A106" i="2"/>
  <c r="D105" i="1"/>
  <c r="B106" i="1"/>
  <c r="C106" i="1"/>
  <c r="E106" i="1"/>
  <c r="A107" i="1"/>
  <c r="E105" i="2"/>
  <c r="D105" i="2"/>
  <c r="C106" i="2"/>
  <c r="E106" i="2"/>
  <c r="A107" i="2"/>
  <c r="B106" i="2"/>
  <c r="B107" i="1"/>
  <c r="C107" i="1"/>
  <c r="E107" i="1"/>
  <c r="A108" i="1"/>
  <c r="D107" i="1"/>
  <c r="D106" i="1"/>
  <c r="A108" i="2"/>
  <c r="B107" i="2"/>
  <c r="C107" i="2"/>
  <c r="D106" i="2"/>
  <c r="B108" i="1"/>
  <c r="A109" i="1"/>
  <c r="C108" i="1"/>
  <c r="E108" i="1"/>
  <c r="E107" i="2"/>
  <c r="D107" i="2"/>
  <c r="C108" i="2"/>
  <c r="E108" i="2"/>
  <c r="B108" i="2"/>
  <c r="A109" i="2"/>
  <c r="B109" i="1"/>
  <c r="C109" i="1"/>
  <c r="E109" i="1"/>
  <c r="A110" i="1"/>
  <c r="D109" i="1"/>
  <c r="D108" i="1"/>
  <c r="B109" i="2"/>
  <c r="C109" i="2"/>
  <c r="E109" i="2"/>
  <c r="A110" i="2"/>
  <c r="D108" i="2"/>
  <c r="B110" i="1"/>
  <c r="C110" i="1"/>
  <c r="E110" i="1"/>
  <c r="A111" i="1"/>
  <c r="D110" i="1"/>
  <c r="D109" i="2"/>
  <c r="A111" i="2"/>
  <c r="D110" i="2"/>
  <c r="B110" i="2"/>
  <c r="C110" i="2"/>
  <c r="E110" i="2"/>
  <c r="B111" i="1"/>
  <c r="C111" i="1"/>
  <c r="A112" i="1"/>
  <c r="A112" i="2"/>
  <c r="C111" i="2"/>
  <c r="E111" i="2"/>
  <c r="B111" i="2"/>
  <c r="E111" i="1"/>
  <c r="D111" i="1"/>
  <c r="B112" i="1"/>
  <c r="C112" i="1"/>
  <c r="A113" i="1"/>
  <c r="D111" i="2"/>
  <c r="B112" i="2"/>
  <c r="C112" i="2"/>
  <c r="A113" i="2"/>
  <c r="E112" i="1"/>
  <c r="D112" i="1"/>
  <c r="B113" i="1"/>
  <c r="C113" i="1"/>
  <c r="E113" i="1"/>
  <c r="A114" i="1"/>
  <c r="E112" i="2"/>
  <c r="D112" i="2"/>
  <c r="A114" i="2"/>
  <c r="B113" i="2"/>
  <c r="C113" i="2"/>
  <c r="D113" i="1"/>
  <c r="B114" i="1"/>
  <c r="C114" i="1"/>
  <c r="E114" i="1"/>
  <c r="A115" i="1"/>
  <c r="E113" i="2"/>
  <c r="D113" i="2"/>
  <c r="B114" i="2"/>
  <c r="C114" i="2"/>
  <c r="A115" i="2"/>
  <c r="B115" i="1"/>
  <c r="C115" i="1"/>
  <c r="E115" i="1"/>
  <c r="A116" i="1"/>
  <c r="D115" i="1"/>
  <c r="D114" i="1"/>
  <c r="E114" i="2"/>
  <c r="D114" i="2"/>
  <c r="A116" i="2"/>
  <c r="B115" i="2"/>
  <c r="C115" i="2"/>
  <c r="B116" i="1"/>
  <c r="C116" i="1"/>
  <c r="E116" i="1"/>
  <c r="A117" i="1"/>
  <c r="E115" i="2"/>
  <c r="D115" i="2"/>
  <c r="B116" i="2"/>
  <c r="C116" i="2"/>
  <c r="A117" i="2"/>
  <c r="D116" i="1"/>
  <c r="B117" i="1"/>
  <c r="C117" i="1"/>
  <c r="A118" i="1"/>
  <c r="E116" i="2"/>
  <c r="D116" i="2"/>
  <c r="C117" i="2"/>
  <c r="E117" i="2"/>
  <c r="A118" i="2"/>
  <c r="B117" i="2"/>
  <c r="E117" i="1"/>
  <c r="D117" i="1"/>
  <c r="B118" i="1"/>
  <c r="C118" i="1"/>
  <c r="E118" i="1"/>
  <c r="A119" i="1"/>
  <c r="D117" i="2"/>
  <c r="B118" i="2"/>
  <c r="C118" i="2"/>
  <c r="A119" i="2"/>
  <c r="D118" i="1"/>
  <c r="B119" i="1"/>
  <c r="C119" i="1"/>
  <c r="E119" i="1"/>
  <c r="A120" i="1"/>
  <c r="E118" i="2"/>
  <c r="D118" i="2"/>
  <c r="A120" i="2"/>
  <c r="B119" i="2"/>
  <c r="C119" i="2"/>
  <c r="B120" i="1"/>
  <c r="A121" i="1"/>
  <c r="C120" i="1"/>
  <c r="E120" i="1"/>
  <c r="D119" i="1"/>
  <c r="E119" i="2"/>
  <c r="D119" i="2"/>
  <c r="B120" i="2"/>
  <c r="C120" i="2"/>
  <c r="A121" i="2"/>
  <c r="B121" i="1"/>
  <c r="C121" i="1"/>
  <c r="E121" i="1"/>
  <c r="A122" i="1"/>
  <c r="D121" i="1"/>
  <c r="D120" i="1"/>
  <c r="E120" i="2"/>
  <c r="D120" i="2"/>
  <c r="A122" i="2"/>
  <c r="D121" i="2"/>
  <c r="B121" i="2"/>
  <c r="C121" i="2"/>
  <c r="E121" i="2"/>
  <c r="B122" i="1"/>
  <c r="C122" i="1"/>
  <c r="E122" i="1"/>
  <c r="A123" i="1"/>
  <c r="A123" i="2"/>
  <c r="B122" i="2"/>
  <c r="C122" i="2"/>
  <c r="B123" i="1"/>
  <c r="A124" i="1"/>
  <c r="C123" i="1"/>
  <c r="E123" i="1"/>
  <c r="D122" i="1"/>
  <c r="E122" i="2"/>
  <c r="D122" i="2"/>
  <c r="A124" i="2"/>
  <c r="B123" i="2"/>
  <c r="C123" i="2"/>
  <c r="B124" i="1"/>
  <c r="C124" i="1"/>
  <c r="A125" i="1"/>
  <c r="D123" i="1"/>
  <c r="E123" i="2"/>
  <c r="D123" i="2"/>
  <c r="B124" i="2"/>
  <c r="C124" i="2"/>
  <c r="A125" i="2"/>
  <c r="E124" i="1"/>
  <c r="D124" i="1"/>
  <c r="B125" i="1"/>
  <c r="C125" i="1"/>
  <c r="E125" i="1"/>
  <c r="A126" i="1"/>
  <c r="E124" i="2"/>
  <c r="D124" i="2"/>
  <c r="C125" i="2"/>
  <c r="E125" i="2"/>
  <c r="D125" i="2"/>
  <c r="A126" i="2"/>
  <c r="B125" i="2"/>
  <c r="D125" i="1"/>
  <c r="B126" i="1"/>
  <c r="C126" i="1"/>
  <c r="A127" i="1"/>
  <c r="C126" i="2"/>
  <c r="E126" i="2"/>
  <c r="A127" i="2"/>
  <c r="D126" i="2"/>
  <c r="B126" i="2"/>
  <c r="E126" i="1"/>
  <c r="D126" i="1"/>
  <c r="B127" i="1"/>
  <c r="C127" i="1"/>
  <c r="E127" i="1"/>
  <c r="A128" i="1"/>
  <c r="B127" i="2"/>
  <c r="C127" i="2"/>
  <c r="E127" i="2"/>
  <c r="A128" i="2"/>
  <c r="B128" i="1"/>
  <c r="A129" i="1"/>
  <c r="C128" i="1"/>
  <c r="E128" i="1"/>
  <c r="D127" i="1"/>
  <c r="D127" i="2"/>
  <c r="A129" i="2"/>
  <c r="B128" i="2"/>
  <c r="C128" i="2"/>
  <c r="B129" i="1"/>
  <c r="C129" i="1"/>
  <c r="E129" i="1"/>
  <c r="A130" i="1"/>
  <c r="D129" i="1"/>
  <c r="D128" i="1"/>
  <c r="E128" i="2"/>
  <c r="D128" i="2"/>
  <c r="B129" i="2"/>
  <c r="C129" i="2"/>
  <c r="E129" i="2"/>
  <c r="A130" i="2"/>
  <c r="B130" i="1"/>
  <c r="C130" i="1"/>
  <c r="A131" i="1"/>
  <c r="D129" i="2"/>
  <c r="B130" i="2"/>
  <c r="C130" i="2"/>
  <c r="A131" i="2"/>
  <c r="E130" i="1"/>
  <c r="D130" i="1"/>
  <c r="B131" i="1"/>
  <c r="C131" i="1"/>
  <c r="E131" i="1"/>
  <c r="A132" i="1"/>
  <c r="E130" i="2"/>
  <c r="D130" i="2"/>
  <c r="A132" i="2"/>
  <c r="B131" i="2"/>
  <c r="C131" i="2"/>
  <c r="D131" i="1"/>
  <c r="B132" i="1"/>
  <c r="C132" i="1"/>
  <c r="E132" i="1"/>
  <c r="A133" i="1"/>
  <c r="E131" i="2"/>
  <c r="D131" i="2"/>
  <c r="B132" i="2"/>
  <c r="C132" i="2"/>
  <c r="A133" i="2"/>
  <c r="D132" i="1"/>
  <c r="B133" i="1"/>
  <c r="C133" i="1"/>
  <c r="E133" i="1"/>
  <c r="A134" i="1"/>
  <c r="E132" i="2"/>
  <c r="D132" i="2"/>
  <c r="B133" i="2"/>
  <c r="C133" i="2"/>
  <c r="A134" i="2"/>
  <c r="B134" i="1"/>
  <c r="C134" i="1"/>
  <c r="E134" i="1"/>
  <c r="A135" i="1"/>
  <c r="D134" i="1"/>
  <c r="D133" i="1"/>
  <c r="E133" i="2"/>
  <c r="D133" i="2"/>
  <c r="B134" i="2"/>
  <c r="C134" i="2"/>
  <c r="A135" i="2"/>
  <c r="B135" i="1"/>
  <c r="C135" i="1"/>
  <c r="E135" i="1"/>
  <c r="A136" i="1"/>
  <c r="D135" i="1"/>
  <c r="E134" i="2"/>
  <c r="D134" i="2"/>
  <c r="B135" i="2"/>
  <c r="C135" i="2"/>
  <c r="A136" i="2"/>
  <c r="B136" i="1"/>
  <c r="A137" i="1"/>
  <c r="C136" i="1"/>
  <c r="E136" i="1"/>
  <c r="E135" i="2"/>
  <c r="D135" i="2"/>
  <c r="B136" i="2"/>
  <c r="C136" i="2"/>
  <c r="A137" i="2"/>
  <c r="D136" i="1"/>
  <c r="B137" i="1"/>
  <c r="A138" i="1"/>
  <c r="C137" i="1"/>
  <c r="E137" i="1"/>
  <c r="E136" i="2"/>
  <c r="D136" i="2"/>
  <c r="B137" i="2"/>
  <c r="C137" i="2"/>
  <c r="A138" i="2"/>
  <c r="B138" i="1"/>
  <c r="C138" i="1"/>
  <c r="A139" i="1"/>
  <c r="D137" i="1"/>
  <c r="E137" i="2"/>
  <c r="D137" i="2"/>
  <c r="C138" i="2"/>
  <c r="E138" i="2"/>
  <c r="A139" i="2"/>
  <c r="B138" i="2"/>
  <c r="E138" i="1"/>
  <c r="D138" i="1"/>
  <c r="B139" i="1"/>
  <c r="C139" i="1"/>
  <c r="A140" i="1"/>
  <c r="B139" i="2"/>
  <c r="A140" i="2"/>
  <c r="C139" i="2"/>
  <c r="E139" i="2"/>
  <c r="D138" i="2"/>
  <c r="E139" i="1"/>
  <c r="D139" i="1"/>
  <c r="B140" i="1"/>
  <c r="C140" i="1"/>
  <c r="A141" i="1"/>
  <c r="D139" i="2"/>
  <c r="C140" i="2"/>
  <c r="E140" i="2"/>
  <c r="A141" i="2"/>
  <c r="B140" i="2"/>
  <c r="E140" i="1"/>
  <c r="D140" i="1"/>
  <c r="B141" i="1"/>
  <c r="C141" i="1"/>
  <c r="E141" i="1"/>
  <c r="A142" i="1"/>
  <c r="B141" i="2"/>
  <c r="C141" i="2"/>
  <c r="A142" i="2"/>
  <c r="D140" i="2"/>
  <c r="D141" i="1"/>
  <c r="B142" i="1"/>
  <c r="C142" i="1"/>
  <c r="E142" i="1"/>
  <c r="A143" i="1"/>
  <c r="E141" i="2"/>
  <c r="D141" i="2"/>
  <c r="A143" i="2"/>
  <c r="B142" i="2"/>
  <c r="C142" i="2"/>
  <c r="B143" i="1"/>
  <c r="A144" i="1"/>
  <c r="C143" i="1"/>
  <c r="E143" i="1"/>
  <c r="D142" i="1"/>
  <c r="E142" i="2"/>
  <c r="D142" i="2"/>
  <c r="B143" i="2"/>
  <c r="C143" i="2"/>
  <c r="A144" i="2"/>
  <c r="B144" i="1"/>
  <c r="A145" i="1"/>
  <c r="C144" i="1"/>
  <c r="E144" i="1"/>
  <c r="D143" i="1"/>
  <c r="E143" i="2"/>
  <c r="D143" i="2"/>
  <c r="B144" i="2"/>
  <c r="C144" i="2"/>
  <c r="A145" i="2"/>
  <c r="B145" i="1"/>
  <c r="C145" i="1"/>
  <c r="A146" i="1"/>
  <c r="D144" i="1"/>
  <c r="E144" i="2"/>
  <c r="D144" i="2"/>
  <c r="B145" i="2"/>
  <c r="C145" i="2"/>
  <c r="A146" i="2"/>
  <c r="E145" i="1"/>
  <c r="D145" i="1"/>
  <c r="B146" i="1"/>
  <c r="C146" i="1"/>
  <c r="E146" i="1"/>
  <c r="A147" i="1"/>
  <c r="E145" i="2"/>
  <c r="D145" i="2"/>
  <c r="B146" i="2"/>
  <c r="C146" i="2"/>
  <c r="A147" i="2"/>
  <c r="B147" i="1"/>
  <c r="A148" i="1"/>
  <c r="C147" i="1"/>
  <c r="E147" i="1"/>
  <c r="D146" i="1"/>
  <c r="E146" i="2"/>
  <c r="D146" i="2"/>
  <c r="B147" i="2"/>
  <c r="C147" i="2"/>
  <c r="A148" i="2"/>
  <c r="B148" i="1"/>
  <c r="C148" i="1"/>
  <c r="E148" i="1"/>
  <c r="A149" i="1"/>
  <c r="D148" i="1"/>
  <c r="D147" i="1"/>
  <c r="E147" i="2"/>
  <c r="D147" i="2"/>
  <c r="B148" i="2"/>
  <c r="C148" i="2"/>
  <c r="A149" i="2"/>
  <c r="B149" i="1"/>
  <c r="C149" i="1"/>
  <c r="E149" i="1"/>
  <c r="A150" i="1"/>
  <c r="D149" i="1"/>
  <c r="E148" i="2"/>
  <c r="D148" i="2"/>
  <c r="B149" i="2"/>
  <c r="C149" i="2"/>
  <c r="A150" i="2"/>
  <c r="B150" i="1"/>
  <c r="C150" i="1"/>
  <c r="E150" i="1"/>
  <c r="A151" i="1"/>
  <c r="D150" i="1"/>
  <c r="E149" i="2"/>
  <c r="D149" i="2"/>
  <c r="C150" i="2"/>
  <c r="E150" i="2"/>
  <c r="D150" i="2"/>
  <c r="A151" i="2"/>
  <c r="B150" i="2"/>
  <c r="B151" i="1"/>
  <c r="A152" i="1"/>
  <c r="C151" i="1"/>
  <c r="E151" i="1"/>
  <c r="A152" i="2"/>
  <c r="C151" i="2"/>
  <c r="E151" i="2"/>
  <c r="B151" i="2"/>
  <c r="B152" i="1"/>
  <c r="A153" i="1"/>
  <c r="C152" i="1"/>
  <c r="E152" i="1"/>
  <c r="D152" i="1"/>
  <c r="D151" i="1"/>
  <c r="A153" i="2"/>
  <c r="B152" i="2"/>
  <c r="C152" i="2"/>
  <c r="D151" i="2"/>
  <c r="B153" i="1"/>
  <c r="C153" i="1"/>
  <c r="A154" i="1"/>
  <c r="E152" i="2"/>
  <c r="D152" i="2"/>
  <c r="B153" i="2"/>
  <c r="C153" i="2"/>
  <c r="A154" i="2"/>
  <c r="E153" i="1"/>
  <c r="D153" i="1"/>
  <c r="B154" i="1"/>
  <c r="C154" i="1"/>
  <c r="E154" i="1"/>
  <c r="A155" i="1"/>
  <c r="E153" i="2"/>
  <c r="D153" i="2"/>
  <c r="A155" i="2"/>
  <c r="D154" i="2"/>
  <c r="B154" i="2"/>
  <c r="C154" i="2"/>
  <c r="E154" i="2"/>
  <c r="D154" i="1"/>
  <c r="B155" i="1"/>
  <c r="C155" i="1"/>
  <c r="E155" i="1"/>
  <c r="A156" i="1"/>
  <c r="A156" i="2"/>
  <c r="B155" i="2"/>
  <c r="C155" i="2"/>
  <c r="E155" i="2"/>
  <c r="D155" i="1"/>
  <c r="B156" i="1"/>
  <c r="C156" i="1"/>
  <c r="E156" i="1"/>
  <c r="A157" i="1"/>
  <c r="D155" i="2"/>
  <c r="B156" i="2"/>
  <c r="C156" i="2"/>
  <c r="A157" i="2"/>
  <c r="B157" i="1"/>
  <c r="C157" i="1"/>
  <c r="E157" i="1"/>
  <c r="A158" i="1"/>
  <c r="D157" i="1"/>
  <c r="D156" i="1"/>
  <c r="E156" i="2"/>
  <c r="D156" i="2"/>
  <c r="B157" i="2"/>
  <c r="C157" i="2"/>
  <c r="A158" i="2"/>
  <c r="B158" i="1"/>
  <c r="C158" i="1"/>
  <c r="E158" i="1"/>
  <c r="A159" i="1"/>
  <c r="D158" i="1"/>
  <c r="E157" i="2"/>
  <c r="D157" i="2"/>
  <c r="B158" i="2"/>
  <c r="C158" i="2"/>
  <c r="A159" i="2"/>
  <c r="B159" i="1"/>
  <c r="A160" i="1"/>
  <c r="C159" i="1"/>
  <c r="E159" i="1"/>
  <c r="E158" i="2"/>
  <c r="D158" i="2"/>
  <c r="B159" i="2"/>
  <c r="C159" i="2"/>
  <c r="A160" i="2"/>
  <c r="D159" i="1"/>
  <c r="B160" i="1"/>
  <c r="C160" i="1"/>
  <c r="A161" i="1"/>
  <c r="E159" i="2"/>
  <c r="D159" i="2"/>
  <c r="A161" i="2"/>
  <c r="B160" i="2"/>
  <c r="C160" i="2"/>
  <c r="E160" i="1"/>
  <c r="D160" i="1"/>
  <c r="B161" i="1"/>
  <c r="C161" i="1"/>
  <c r="A162" i="1"/>
  <c r="E160" i="2"/>
  <c r="D160" i="2"/>
  <c r="B161" i="2"/>
  <c r="C161" i="2"/>
  <c r="A162" i="2"/>
  <c r="E161" i="1"/>
  <c r="D161" i="1"/>
  <c r="B162" i="1"/>
  <c r="C162" i="1"/>
  <c r="A163" i="1"/>
  <c r="E161" i="2"/>
  <c r="D161" i="2"/>
  <c r="B162" i="2"/>
  <c r="C162" i="2"/>
  <c r="A163" i="2"/>
  <c r="E162" i="1"/>
  <c r="D162" i="1"/>
  <c r="B163" i="1"/>
  <c r="C163" i="1"/>
  <c r="E163" i="1"/>
  <c r="A164" i="1"/>
  <c r="E162" i="2"/>
  <c r="D162" i="2"/>
  <c r="B163" i="2"/>
  <c r="C163" i="2"/>
  <c r="A164" i="2"/>
  <c r="D163" i="1"/>
  <c r="B164" i="1"/>
  <c r="C164" i="1"/>
  <c r="A165" i="1"/>
  <c r="E163" i="2"/>
  <c r="D163" i="2"/>
  <c r="B164" i="2"/>
  <c r="C164" i="2"/>
  <c r="A165" i="2"/>
  <c r="E164" i="1"/>
  <c r="D164" i="1"/>
  <c r="B165" i="1"/>
  <c r="C165" i="1"/>
  <c r="A166" i="1"/>
  <c r="E164" i="2"/>
  <c r="D164" i="2"/>
  <c r="A166" i="2"/>
  <c r="C165" i="2"/>
  <c r="E165" i="2"/>
  <c r="B165" i="2"/>
  <c r="E165" i="1"/>
  <c r="D165" i="1"/>
  <c r="B166" i="1"/>
  <c r="C166" i="1"/>
  <c r="A167" i="1"/>
  <c r="D165" i="2"/>
  <c r="A167" i="2"/>
  <c r="D166" i="2"/>
  <c r="B166" i="2"/>
  <c r="C166" i="2"/>
  <c r="E166" i="2"/>
  <c r="E166" i="1"/>
  <c r="D166" i="1"/>
  <c r="B167" i="1"/>
  <c r="C167" i="1"/>
  <c r="E167" i="1"/>
  <c r="A168" i="1"/>
  <c r="B167" i="2"/>
  <c r="C167" i="2"/>
  <c r="A168" i="2"/>
  <c r="D167" i="1"/>
  <c r="B168" i="1"/>
  <c r="C168" i="1"/>
  <c r="E168" i="1"/>
  <c r="A169" i="1"/>
  <c r="E167" i="2"/>
  <c r="D167" i="2"/>
  <c r="C168" i="2"/>
  <c r="E168" i="2"/>
  <c r="A169" i="2"/>
  <c r="B168" i="2"/>
  <c r="B169" i="1"/>
  <c r="C169" i="1"/>
  <c r="E169" i="1"/>
  <c r="A170" i="1"/>
  <c r="D168" i="1"/>
  <c r="D168" i="2"/>
  <c r="B169" i="2"/>
  <c r="C169" i="2"/>
  <c r="A170" i="2"/>
  <c r="B170" i="1"/>
  <c r="C170" i="1"/>
  <c r="E170" i="1"/>
  <c r="A171" i="1"/>
  <c r="D170" i="1"/>
  <c r="D169" i="1"/>
  <c r="E169" i="2"/>
  <c r="D169" i="2"/>
  <c r="C170" i="2"/>
  <c r="E170" i="2"/>
  <c r="D170" i="2"/>
  <c r="B170" i="2"/>
  <c r="A171" i="2"/>
  <c r="B171" i="1"/>
  <c r="C171" i="1"/>
  <c r="E171" i="1"/>
  <c r="A172" i="1"/>
  <c r="D171" i="1"/>
  <c r="A172" i="2"/>
  <c r="B171" i="2"/>
  <c r="C171" i="2"/>
  <c r="E171" i="2"/>
  <c r="B172" i="1"/>
  <c r="C172" i="1"/>
  <c r="E172" i="1"/>
  <c r="A173" i="1"/>
  <c r="D172" i="1"/>
  <c r="D171" i="2"/>
  <c r="A173" i="2"/>
  <c r="D172" i="2"/>
  <c r="B172" i="2"/>
  <c r="C172" i="2"/>
  <c r="E172" i="2"/>
  <c r="B173" i="1"/>
  <c r="A174" i="1"/>
  <c r="C173" i="1"/>
  <c r="E173" i="1"/>
  <c r="B173" i="2"/>
  <c r="A174" i="2"/>
  <c r="C173" i="2"/>
  <c r="E173" i="2"/>
  <c r="D173" i="1"/>
  <c r="B174" i="1"/>
  <c r="A175" i="1"/>
  <c r="C174" i="1"/>
  <c r="E174" i="1"/>
  <c r="B174" i="2"/>
  <c r="C174" i="2"/>
  <c r="E174" i="2"/>
  <c r="D174" i="2"/>
  <c r="A175" i="2"/>
  <c r="D173" i="2"/>
  <c r="B175" i="1"/>
  <c r="C175" i="1"/>
  <c r="E175" i="1"/>
  <c r="A176" i="1"/>
  <c r="D175" i="1"/>
  <c r="D174" i="1"/>
  <c r="B175" i="2"/>
  <c r="C175" i="2"/>
  <c r="A176" i="2"/>
  <c r="B176" i="1"/>
  <c r="C176" i="1"/>
  <c r="E176" i="1"/>
  <c r="A177" i="1"/>
  <c r="D176" i="1"/>
  <c r="E175" i="2"/>
  <c r="D175" i="2"/>
  <c r="A177" i="2"/>
  <c r="B176" i="2"/>
  <c r="C176" i="2"/>
  <c r="B177" i="1"/>
  <c r="C177" i="1"/>
  <c r="E177" i="1"/>
  <c r="A178" i="1"/>
  <c r="E176" i="2"/>
  <c r="D176" i="2"/>
  <c r="A178" i="2"/>
  <c r="D177" i="2"/>
  <c r="B177" i="2"/>
  <c r="C177" i="2"/>
  <c r="E177" i="2"/>
  <c r="B178" i="1"/>
  <c r="C178" i="1"/>
  <c r="E178" i="1"/>
  <c r="A179" i="1"/>
  <c r="D178" i="1"/>
  <c r="D177" i="1"/>
  <c r="B178" i="2"/>
  <c r="C178" i="2"/>
  <c r="A179" i="2"/>
  <c r="B179" i="1"/>
  <c r="C179" i="1"/>
  <c r="E179" i="1"/>
  <c r="D179" i="1"/>
  <c r="A180" i="1"/>
  <c r="E178" i="2"/>
  <c r="D178" i="2"/>
  <c r="B179" i="2"/>
  <c r="C179" i="2"/>
  <c r="E179" i="2"/>
  <c r="D179" i="2"/>
  <c r="A180" i="2"/>
  <c r="B180" i="1"/>
  <c r="A181" i="1"/>
  <c r="C180" i="1"/>
  <c r="E180" i="1"/>
  <c r="B180" i="2"/>
  <c r="C180" i="2"/>
  <c r="E180" i="2"/>
  <c r="A181" i="2"/>
  <c r="B181" i="1"/>
  <c r="A182" i="1"/>
  <c r="C181" i="1"/>
  <c r="E181" i="1"/>
  <c r="D180" i="1"/>
  <c r="A182" i="2"/>
  <c r="B181" i="2"/>
  <c r="C181" i="2"/>
  <c r="D180" i="2"/>
  <c r="D181" i="1"/>
  <c r="B182" i="1"/>
  <c r="C182" i="1"/>
  <c r="A183" i="1"/>
  <c r="E181" i="2"/>
  <c r="D181" i="2"/>
  <c r="C182" i="2"/>
  <c r="E182" i="2"/>
  <c r="D182" i="2"/>
  <c r="B182" i="2"/>
  <c r="A183" i="2"/>
  <c r="E182" i="1"/>
  <c r="D182" i="1"/>
  <c r="B183" i="1"/>
  <c r="C183" i="1"/>
  <c r="A184" i="1"/>
  <c r="A184" i="2"/>
  <c r="C183" i="2"/>
  <c r="E183" i="2"/>
  <c r="B183" i="2"/>
  <c r="E183" i="1"/>
  <c r="D183" i="1"/>
  <c r="B184" i="1"/>
  <c r="C184" i="1"/>
  <c r="E184" i="1"/>
  <c r="A185" i="1"/>
  <c r="D183" i="2"/>
  <c r="B184" i="2"/>
  <c r="C184" i="2"/>
  <c r="A185" i="2"/>
  <c r="D184" i="1"/>
  <c r="B185" i="1"/>
  <c r="C185" i="1"/>
  <c r="A186" i="1"/>
  <c r="E184" i="2"/>
  <c r="D184" i="2"/>
  <c r="A186" i="2"/>
  <c r="B185" i="2"/>
  <c r="C185" i="2"/>
  <c r="E185" i="1"/>
  <c r="D185" i="1"/>
  <c r="B186" i="1"/>
  <c r="C186" i="1"/>
  <c r="A187" i="1"/>
  <c r="E185" i="2"/>
  <c r="D185" i="2"/>
  <c r="B186" i="2"/>
  <c r="C186" i="2"/>
  <c r="A187" i="2"/>
  <c r="E186" i="1"/>
  <c r="D186" i="1"/>
  <c r="B187" i="1"/>
  <c r="C187" i="1"/>
  <c r="E187" i="1"/>
  <c r="A188" i="1"/>
  <c r="E186" i="2"/>
  <c r="D186" i="2"/>
  <c r="C187" i="2"/>
  <c r="E187" i="2"/>
  <c r="D187" i="2"/>
  <c r="A188" i="2"/>
  <c r="B187" i="2"/>
  <c r="D187" i="1"/>
  <c r="B188" i="1"/>
  <c r="C188" i="1"/>
  <c r="E188" i="1"/>
  <c r="D188" i="1"/>
  <c r="A189" i="1"/>
  <c r="C188" i="2"/>
  <c r="E188" i="2"/>
  <c r="A189" i="2"/>
  <c r="D188" i="2"/>
  <c r="B188" i="2"/>
  <c r="B189" i="1"/>
  <c r="C189" i="1"/>
  <c r="E189" i="1"/>
  <c r="A190" i="1"/>
  <c r="D189" i="1"/>
  <c r="A190" i="2"/>
  <c r="C189" i="2"/>
  <c r="E189" i="2"/>
  <c r="D189" i="2"/>
  <c r="B189" i="2"/>
  <c r="B190" i="1"/>
  <c r="C190" i="1"/>
  <c r="E190" i="1"/>
  <c r="D190" i="1"/>
  <c r="A191" i="1"/>
  <c r="C190" i="2"/>
  <c r="E190" i="2"/>
  <c r="A191" i="2"/>
  <c r="D190" i="2"/>
  <c r="B190" i="2"/>
  <c r="B191" i="1"/>
  <c r="A192" i="1"/>
  <c r="C191" i="1"/>
  <c r="E191" i="1"/>
  <c r="B191" i="2"/>
  <c r="C191" i="2"/>
  <c r="A192" i="2"/>
  <c r="B192" i="1"/>
  <c r="C192" i="1"/>
  <c r="A193" i="1"/>
  <c r="D191" i="1"/>
  <c r="E191" i="2"/>
  <c r="D191" i="2"/>
  <c r="A193" i="2"/>
  <c r="B192" i="2"/>
  <c r="C192" i="2"/>
  <c r="E192" i="1"/>
  <c r="D192" i="1"/>
  <c r="B193" i="1"/>
  <c r="D193" i="1"/>
  <c r="C193" i="1"/>
  <c r="E193" i="1"/>
  <c r="A194" i="1"/>
  <c r="E192" i="2"/>
  <c r="D192" i="2"/>
  <c r="B193" i="2"/>
  <c r="C193" i="2"/>
  <c r="A194" i="2"/>
  <c r="B194" i="1"/>
  <c r="C194" i="1"/>
  <c r="A195" i="1"/>
  <c r="E193" i="2"/>
  <c r="D193" i="2"/>
  <c r="C194" i="2"/>
  <c r="E194" i="2"/>
  <c r="A195" i="2"/>
  <c r="B194" i="2"/>
  <c r="E194" i="1"/>
  <c r="D194" i="1"/>
  <c r="B195" i="1"/>
  <c r="C195" i="1"/>
  <c r="E195" i="1"/>
  <c r="A196" i="1"/>
  <c r="D195" i="1"/>
  <c r="D194" i="2"/>
  <c r="A196" i="2"/>
  <c r="C195" i="2"/>
  <c r="E195" i="2"/>
  <c r="B195" i="2"/>
  <c r="B196" i="1"/>
  <c r="A197" i="1"/>
  <c r="C196" i="1"/>
  <c r="E196" i="1"/>
  <c r="B196" i="2"/>
  <c r="C196" i="2"/>
  <c r="E196" i="2"/>
  <c r="A197" i="2"/>
  <c r="D195" i="2"/>
  <c r="D196" i="1"/>
  <c r="B197" i="1"/>
  <c r="C197" i="1"/>
  <c r="E197" i="1"/>
  <c r="D197" i="1"/>
  <c r="A198" i="1"/>
  <c r="A198" i="2"/>
  <c r="B197" i="2"/>
  <c r="C197" i="2"/>
  <c r="D196" i="2"/>
  <c r="B198" i="1"/>
  <c r="A199" i="1"/>
  <c r="C198" i="1"/>
  <c r="E198" i="1"/>
  <c r="D198" i="1"/>
  <c r="E197" i="2"/>
  <c r="D197" i="2"/>
  <c r="C198" i="2"/>
  <c r="E198" i="2"/>
  <c r="B198" i="2"/>
  <c r="A199" i="2"/>
  <c r="B199" i="1"/>
  <c r="C199" i="1"/>
  <c r="E199" i="1"/>
  <c r="A200" i="1"/>
  <c r="D199" i="1"/>
  <c r="D198" i="2"/>
  <c r="C199" i="2"/>
  <c r="E199" i="2"/>
  <c r="D199" i="2"/>
  <c r="A200" i="2"/>
  <c r="B199" i="2"/>
  <c r="B200" i="1"/>
  <c r="C200" i="1"/>
  <c r="A201" i="1"/>
  <c r="B200" i="2"/>
  <c r="C200" i="2"/>
  <c r="E200" i="2"/>
  <c r="A201" i="2"/>
  <c r="E200" i="1"/>
  <c r="D200" i="1"/>
  <c r="B201" i="1"/>
  <c r="C201" i="1"/>
  <c r="A202" i="1"/>
  <c r="A202" i="2"/>
  <c r="B201" i="2"/>
  <c r="C201" i="2"/>
  <c r="E201" i="2"/>
  <c r="D201" i="2"/>
  <c r="D200" i="2"/>
  <c r="E201" i="1"/>
  <c r="D201" i="1"/>
  <c r="B202" i="1"/>
  <c r="C202" i="1"/>
  <c r="E202" i="1"/>
  <c r="A203" i="1"/>
  <c r="B202" i="2"/>
  <c r="A203" i="2"/>
  <c r="C202" i="2"/>
  <c r="E202" i="2"/>
  <c r="B203" i="1"/>
  <c r="C203" i="1"/>
  <c r="E203" i="1"/>
  <c r="D203" i="1"/>
  <c r="A204" i="1"/>
  <c r="D202" i="1"/>
  <c r="A204" i="2"/>
  <c r="B203" i="2"/>
  <c r="C203" i="2"/>
  <c r="E203" i="2"/>
  <c r="D203" i="2"/>
  <c r="D202" i="2"/>
  <c r="B204" i="1"/>
  <c r="C204" i="1"/>
  <c r="E204" i="1"/>
  <c r="A205" i="1"/>
  <c r="D204" i="1"/>
  <c r="B204" i="2"/>
  <c r="C204" i="2"/>
  <c r="A205" i="2"/>
  <c r="B205" i="1"/>
  <c r="A206" i="1"/>
  <c r="C205" i="1"/>
  <c r="E205" i="1"/>
  <c r="E204" i="2"/>
  <c r="D204" i="2"/>
  <c r="B205" i="2"/>
  <c r="C205" i="2"/>
  <c r="E205" i="2"/>
  <c r="A206" i="2"/>
  <c r="B206" i="1"/>
  <c r="C206" i="1"/>
  <c r="E206" i="1"/>
  <c r="A207" i="1"/>
  <c r="D206" i="1"/>
  <c r="D205" i="1"/>
  <c r="B206" i="2"/>
  <c r="C206" i="2"/>
  <c r="E206" i="2"/>
  <c r="A207" i="2"/>
  <c r="D205" i="2"/>
  <c r="B207" i="1"/>
  <c r="C207" i="1"/>
  <c r="E207" i="1"/>
  <c r="A208" i="1"/>
  <c r="D207" i="1"/>
  <c r="D206" i="2"/>
  <c r="A208" i="2"/>
  <c r="B207" i="2"/>
  <c r="C207" i="2"/>
  <c r="B208" i="1"/>
  <c r="C208" i="1"/>
  <c r="E208" i="1"/>
  <c r="A209" i="1"/>
  <c r="D208" i="1"/>
  <c r="E207" i="2"/>
  <c r="D207" i="2"/>
  <c r="B208" i="2"/>
  <c r="C208" i="2"/>
  <c r="A209" i="2"/>
  <c r="B209" i="1"/>
  <c r="A210" i="1"/>
  <c r="C209" i="1"/>
  <c r="E209" i="1"/>
  <c r="E208" i="2"/>
  <c r="D208" i="2"/>
  <c r="A210" i="2"/>
  <c r="B209" i="2"/>
  <c r="C209" i="2"/>
  <c r="B210" i="1"/>
  <c r="C210" i="1"/>
  <c r="E210" i="1"/>
  <c r="A211" i="1"/>
  <c r="D209" i="1"/>
  <c r="E209" i="2"/>
  <c r="D209" i="2"/>
  <c r="C210" i="2"/>
  <c r="E210" i="2"/>
  <c r="A211" i="2"/>
  <c r="B210" i="2"/>
  <c r="D210" i="1"/>
  <c r="B211" i="1"/>
  <c r="C211" i="1"/>
  <c r="A212" i="1"/>
  <c r="A212" i="2"/>
  <c r="B211" i="2"/>
  <c r="C211" i="2"/>
  <c r="D210" i="2"/>
  <c r="E211" i="1"/>
  <c r="D211" i="1"/>
  <c r="B212" i="1"/>
  <c r="C212" i="1"/>
  <c r="E212" i="1"/>
  <c r="A213" i="1"/>
  <c r="E211" i="2"/>
  <c r="D211" i="2"/>
  <c r="A213" i="2"/>
  <c r="D212" i="2"/>
  <c r="B212" i="2"/>
  <c r="C212" i="2"/>
  <c r="E212" i="2"/>
  <c r="D212" i="1"/>
  <c r="B213" i="1"/>
  <c r="C213" i="1"/>
  <c r="A214" i="1"/>
  <c r="A214" i="2"/>
  <c r="B213" i="2"/>
  <c r="C213" i="2"/>
  <c r="E213" i="2"/>
  <c r="E213" i="1"/>
  <c r="D213" i="1"/>
  <c r="B214" i="1"/>
  <c r="C214" i="1"/>
  <c r="E214" i="1"/>
  <c r="A215" i="1"/>
  <c r="D213" i="2"/>
  <c r="C214" i="2"/>
  <c r="E214" i="2"/>
  <c r="B214" i="2"/>
  <c r="A215" i="2"/>
  <c r="B215" i="1"/>
  <c r="A216" i="1"/>
  <c r="C215" i="1"/>
  <c r="E215" i="1"/>
  <c r="D214" i="1"/>
  <c r="A216" i="2"/>
  <c r="C215" i="2"/>
  <c r="E215" i="2"/>
  <c r="B215" i="2"/>
  <c r="D214" i="2"/>
  <c r="B216" i="1"/>
  <c r="C216" i="1"/>
  <c r="E216" i="1"/>
  <c r="A217" i="1"/>
  <c r="D216" i="1"/>
  <c r="D215" i="1"/>
  <c r="D215" i="2"/>
  <c r="A217" i="2"/>
  <c r="B216" i="2"/>
  <c r="C216" i="2"/>
  <c r="B217" i="1"/>
  <c r="A218" i="1"/>
  <c r="C217" i="1"/>
  <c r="E217" i="1"/>
  <c r="E216" i="2"/>
  <c r="D216" i="2"/>
  <c r="B217" i="2"/>
  <c r="C217" i="2"/>
  <c r="A218" i="2"/>
  <c r="B218" i="1"/>
  <c r="C218" i="1"/>
  <c r="A219" i="1"/>
  <c r="D217" i="1"/>
  <c r="E217" i="2"/>
  <c r="D217" i="2"/>
  <c r="B218" i="2"/>
  <c r="C218" i="2"/>
  <c r="A219" i="2"/>
  <c r="E218" i="1"/>
  <c r="D218" i="1"/>
  <c r="B219" i="1"/>
  <c r="C219" i="1"/>
  <c r="E219" i="1"/>
  <c r="A220" i="1"/>
  <c r="E218" i="2"/>
  <c r="D218" i="2"/>
  <c r="A220" i="2"/>
  <c r="B219" i="2"/>
  <c r="C219" i="2"/>
  <c r="D219" i="1"/>
  <c r="B220" i="1"/>
  <c r="C220" i="1"/>
  <c r="E220" i="1"/>
  <c r="A221" i="1"/>
  <c r="E219" i="2"/>
  <c r="D219" i="2"/>
  <c r="B220" i="2"/>
  <c r="C220" i="2"/>
  <c r="A221" i="2"/>
  <c r="B221" i="1"/>
  <c r="C221" i="1"/>
  <c r="E221" i="1"/>
  <c r="A222" i="1"/>
  <c r="D220" i="1"/>
  <c r="E220" i="2"/>
  <c r="D220" i="2"/>
  <c r="A222" i="2"/>
  <c r="C221" i="2"/>
  <c r="E221" i="2"/>
  <c r="B221" i="2"/>
  <c r="D221" i="1"/>
  <c r="B222" i="1"/>
  <c r="C222" i="1"/>
  <c r="E222" i="1"/>
  <c r="A223" i="1"/>
  <c r="A223" i="2"/>
  <c r="B222" i="2"/>
  <c r="C222" i="2"/>
  <c r="D221" i="2"/>
  <c r="D222" i="1"/>
  <c r="B223" i="1"/>
  <c r="A224" i="1"/>
  <c r="C223" i="1"/>
  <c r="E223" i="1"/>
  <c r="E222" i="2"/>
  <c r="D222" i="2"/>
  <c r="A224" i="2"/>
  <c r="C223" i="2"/>
  <c r="E223" i="2"/>
  <c r="B223" i="2"/>
  <c r="B224" i="1"/>
  <c r="C224" i="1"/>
  <c r="A225" i="1"/>
  <c r="D223" i="1"/>
  <c r="B224" i="2"/>
  <c r="C224" i="2"/>
  <c r="A225" i="2"/>
  <c r="D223" i="2"/>
  <c r="E224" i="1"/>
  <c r="D224" i="1"/>
  <c r="B225" i="1"/>
  <c r="C225" i="1"/>
  <c r="E225" i="1"/>
  <c r="A226" i="1"/>
  <c r="E224" i="2"/>
  <c r="D224" i="2"/>
  <c r="B225" i="2"/>
  <c r="C225" i="2"/>
  <c r="E225" i="2"/>
  <c r="A226" i="2"/>
  <c r="B226" i="1"/>
  <c r="C226" i="1"/>
  <c r="E226" i="1"/>
  <c r="D226" i="1"/>
  <c r="A227" i="1"/>
  <c r="D225" i="1"/>
  <c r="A227" i="2"/>
  <c r="B226" i="2"/>
  <c r="C226" i="2"/>
  <c r="D225" i="2"/>
  <c r="B227" i="1"/>
  <c r="A228" i="1"/>
  <c r="C227" i="1"/>
  <c r="E227" i="1"/>
  <c r="D227" i="1"/>
  <c r="E226" i="2"/>
  <c r="D226" i="2"/>
  <c r="A228" i="2"/>
  <c r="C227" i="2"/>
  <c r="E227" i="2"/>
  <c r="B227" i="2"/>
  <c r="B228" i="1"/>
  <c r="C228" i="1"/>
  <c r="A229" i="1"/>
  <c r="B228" i="2"/>
  <c r="C228" i="2"/>
  <c r="E228" i="2"/>
  <c r="D228" i="2"/>
  <c r="A229" i="2"/>
  <c r="D227" i="2"/>
  <c r="E228" i="1"/>
  <c r="D228" i="1"/>
  <c r="B229" i="1"/>
  <c r="C229" i="1"/>
  <c r="E229" i="1"/>
  <c r="A230" i="1"/>
  <c r="B229" i="2"/>
  <c r="C229" i="2"/>
  <c r="A230" i="2"/>
  <c r="D229" i="1"/>
  <c r="B230" i="1"/>
  <c r="C230" i="1"/>
  <c r="E230" i="1"/>
  <c r="A231" i="1"/>
  <c r="D230" i="1"/>
  <c r="E229" i="2"/>
  <c r="D229" i="2"/>
  <c r="B230" i="2"/>
  <c r="C230" i="2"/>
  <c r="A231" i="2"/>
  <c r="B231" i="1"/>
  <c r="A232" i="1"/>
  <c r="C231" i="1"/>
  <c r="E231" i="1"/>
  <c r="D231" i="1"/>
  <c r="E230" i="2"/>
  <c r="D230" i="2"/>
  <c r="C231" i="2"/>
  <c r="E231" i="2"/>
  <c r="D231" i="2"/>
  <c r="B231" i="2"/>
  <c r="A232" i="2"/>
  <c r="B232" i="1"/>
  <c r="C232" i="1"/>
  <c r="A233" i="1"/>
  <c r="A233" i="2"/>
  <c r="B232" i="2"/>
  <c r="C232" i="2"/>
  <c r="E232" i="1"/>
  <c r="D232" i="1"/>
  <c r="B233" i="1"/>
  <c r="C233" i="1"/>
  <c r="A234" i="1"/>
  <c r="E232" i="2"/>
  <c r="D232" i="2"/>
  <c r="B233" i="2"/>
  <c r="C233" i="2"/>
  <c r="A234" i="2"/>
  <c r="E233" i="1"/>
  <c r="D233" i="1"/>
  <c r="B234" i="1"/>
  <c r="C234" i="1"/>
  <c r="A235" i="1"/>
  <c r="E233" i="2"/>
  <c r="D233" i="2"/>
  <c r="B234" i="2"/>
  <c r="C234" i="2"/>
  <c r="A235" i="2"/>
  <c r="E234" i="1"/>
  <c r="D234" i="1"/>
  <c r="B235" i="1"/>
  <c r="C235" i="1"/>
  <c r="A236" i="1"/>
  <c r="E234" i="2"/>
  <c r="D234" i="2"/>
  <c r="A236" i="2"/>
  <c r="B235" i="2"/>
  <c r="C235" i="2"/>
  <c r="E235" i="1"/>
  <c r="D235" i="1"/>
  <c r="B236" i="1"/>
  <c r="C236" i="1"/>
  <c r="E236" i="1"/>
  <c r="A237" i="1"/>
  <c r="E235" i="2"/>
  <c r="D235" i="2"/>
  <c r="C236" i="2"/>
  <c r="E236" i="2"/>
  <c r="D236" i="2"/>
  <c r="B236" i="2"/>
  <c r="A237" i="2"/>
  <c r="B237" i="1"/>
  <c r="C237" i="1"/>
  <c r="E237" i="1"/>
  <c r="A238" i="1"/>
  <c r="D236" i="1"/>
  <c r="B237" i="2"/>
  <c r="C237" i="2"/>
  <c r="E237" i="2"/>
  <c r="A238" i="2"/>
  <c r="D237" i="1"/>
  <c r="B238" i="1"/>
  <c r="C238" i="1"/>
  <c r="E238" i="1"/>
  <c r="A239" i="1"/>
  <c r="D237" i="2"/>
  <c r="C238" i="2"/>
  <c r="E238" i="2"/>
  <c r="A239" i="2"/>
  <c r="B238" i="2"/>
  <c r="D238" i="1"/>
  <c r="B239" i="1"/>
  <c r="C239" i="1"/>
  <c r="A240" i="1"/>
  <c r="B239" i="2"/>
  <c r="A240" i="2"/>
  <c r="C239" i="2"/>
  <c r="E239" i="2"/>
  <c r="D238" i="2"/>
  <c r="E239" i="1"/>
  <c r="D239" i="1"/>
  <c r="B240" i="1"/>
  <c r="C240" i="1"/>
  <c r="A241" i="1"/>
  <c r="D239" i="2"/>
  <c r="A241" i="2"/>
  <c r="B240" i="2"/>
  <c r="C240" i="2"/>
  <c r="E240" i="1"/>
  <c r="D240" i="1"/>
  <c r="B241" i="1"/>
  <c r="C241" i="1"/>
  <c r="E241" i="1"/>
  <c r="A242" i="1"/>
  <c r="E240" i="2"/>
  <c r="D240" i="2"/>
  <c r="C241" i="2"/>
  <c r="E241" i="2"/>
  <c r="A242" i="2"/>
  <c r="D241" i="2"/>
  <c r="B241" i="2"/>
  <c r="D241" i="1"/>
  <c r="B242" i="1"/>
  <c r="D242" i="1"/>
  <c r="A243" i="1"/>
  <c r="C242" i="1"/>
  <c r="E242" i="1"/>
  <c r="B242" i="2"/>
  <c r="C242" i="2"/>
  <c r="E242" i="2"/>
  <c r="A243" i="2"/>
  <c r="B243" i="1"/>
  <c r="C243" i="1"/>
  <c r="E243" i="1"/>
  <c r="A244" i="1"/>
  <c r="D243" i="1"/>
  <c r="A244" i="2"/>
  <c r="C243" i="2"/>
  <c r="E243" i="2"/>
  <c r="D243" i="2"/>
  <c r="B243" i="2"/>
  <c r="D242" i="2"/>
  <c r="B244" i="1"/>
  <c r="C244" i="1"/>
  <c r="E244" i="1"/>
  <c r="A245" i="1"/>
  <c r="D244" i="1"/>
  <c r="B244" i="2"/>
  <c r="C244" i="2"/>
  <c r="E244" i="2"/>
  <c r="D244" i="2"/>
  <c r="A245" i="2"/>
  <c r="B245" i="1"/>
  <c r="A246" i="1"/>
  <c r="C245" i="1"/>
  <c r="E245" i="1"/>
  <c r="B245" i="2"/>
  <c r="C245" i="2"/>
  <c r="A246" i="2"/>
  <c r="B246" i="1"/>
  <c r="C246" i="1"/>
  <c r="E246" i="1"/>
  <c r="A247" i="1"/>
  <c r="D246" i="1"/>
  <c r="D245" i="1"/>
  <c r="E245" i="2"/>
  <c r="D245" i="2"/>
  <c r="B246" i="2"/>
  <c r="C246" i="2"/>
  <c r="A247" i="2"/>
  <c r="B247" i="1"/>
  <c r="C247" i="1"/>
  <c r="A248" i="1"/>
  <c r="E246" i="2"/>
  <c r="D246" i="2"/>
  <c r="A248" i="2"/>
  <c r="D247" i="2"/>
  <c r="C247" i="2"/>
  <c r="E247" i="2"/>
  <c r="B247" i="2"/>
  <c r="E247" i="1"/>
  <c r="D247" i="1"/>
  <c r="B248" i="1"/>
  <c r="C248" i="1"/>
  <c r="E248" i="1"/>
  <c r="A249" i="1"/>
  <c r="B248" i="2"/>
  <c r="A249" i="2"/>
  <c r="C248" i="2"/>
  <c r="E248" i="2"/>
  <c r="D248" i="1"/>
  <c r="B249" i="1"/>
  <c r="C249" i="1"/>
  <c r="A250" i="1"/>
  <c r="B249" i="2"/>
  <c r="A250" i="2"/>
  <c r="C249" i="2"/>
  <c r="E249" i="2"/>
  <c r="D248" i="2"/>
  <c r="E249" i="1"/>
  <c r="D249" i="1"/>
  <c r="B250" i="1"/>
  <c r="C250" i="1"/>
  <c r="E250" i="1"/>
  <c r="A251" i="1"/>
  <c r="D249" i="2"/>
  <c r="B250" i="2"/>
  <c r="C250" i="2"/>
  <c r="A251" i="2"/>
  <c r="D250" i="1"/>
  <c r="B251" i="1"/>
  <c r="C251" i="1"/>
  <c r="E251" i="1"/>
  <c r="A252" i="1"/>
  <c r="E250" i="2"/>
  <c r="D250" i="2"/>
  <c r="A252" i="2"/>
  <c r="B251" i="2"/>
  <c r="C251" i="2"/>
  <c r="B252" i="1"/>
  <c r="A253" i="1"/>
  <c r="C252" i="1"/>
  <c r="E252" i="1"/>
  <c r="D251" i="1"/>
  <c r="E251" i="2"/>
  <c r="D251" i="2"/>
  <c r="B252" i="2"/>
  <c r="C252" i="2"/>
  <c r="E252" i="2"/>
  <c r="A253" i="2"/>
  <c r="B253" i="1"/>
  <c r="A254" i="1"/>
  <c r="C253" i="1"/>
  <c r="E253" i="1"/>
  <c r="D253" i="1"/>
  <c r="D252" i="1"/>
  <c r="A254" i="2"/>
  <c r="B253" i="2"/>
  <c r="C253" i="2"/>
  <c r="D252" i="2"/>
  <c r="B254" i="1"/>
  <c r="C254" i="1"/>
  <c r="E254" i="1"/>
  <c r="A255" i="1"/>
  <c r="D254" i="1"/>
  <c r="E253" i="2"/>
  <c r="D253" i="2"/>
  <c r="A255" i="2"/>
  <c r="B254" i="2"/>
  <c r="C254" i="2"/>
  <c r="B255" i="1"/>
  <c r="C255" i="1"/>
  <c r="A256" i="1"/>
  <c r="E254" i="2"/>
  <c r="D254" i="2"/>
  <c r="A256" i="2"/>
  <c r="B255" i="2"/>
  <c r="C255" i="2"/>
  <c r="E255" i="1"/>
  <c r="D255" i="1"/>
  <c r="B256" i="1"/>
  <c r="A257" i="1"/>
  <c r="D256" i="1"/>
  <c r="C256" i="1"/>
  <c r="E256" i="1"/>
  <c r="E255" i="2"/>
  <c r="D255" i="2"/>
  <c r="B256" i="2"/>
  <c r="C256" i="2"/>
  <c r="E256" i="2"/>
  <c r="A257" i="2"/>
  <c r="B257" i="1"/>
  <c r="C257" i="1"/>
  <c r="E257" i="1"/>
  <c r="A258" i="1"/>
  <c r="D256" i="2"/>
  <c r="B257" i="2"/>
  <c r="C257" i="2"/>
  <c r="E257" i="2"/>
  <c r="A258" i="2"/>
  <c r="B258" i="1"/>
  <c r="C258" i="1"/>
  <c r="E258" i="1"/>
  <c r="A259" i="1"/>
  <c r="D257" i="1"/>
  <c r="D257" i="2"/>
  <c r="C258" i="2"/>
  <c r="E258" i="2"/>
  <c r="D258" i="2"/>
  <c r="A259" i="2"/>
  <c r="B258" i="2"/>
  <c r="B259" i="1"/>
  <c r="C259" i="1"/>
  <c r="A260" i="1"/>
  <c r="D258" i="1"/>
  <c r="A260" i="2"/>
  <c r="B259" i="2"/>
  <c r="C259" i="2"/>
  <c r="E259" i="1"/>
  <c r="D259" i="1"/>
  <c r="B260" i="1"/>
  <c r="D260" i="1"/>
  <c r="C260" i="1"/>
  <c r="E260" i="1"/>
  <c r="A261" i="1"/>
  <c r="E259" i="2"/>
  <c r="D259" i="2"/>
  <c r="B260" i="2"/>
  <c r="C260" i="2"/>
  <c r="A261" i="2"/>
  <c r="B261" i="1"/>
  <c r="A262" i="1"/>
  <c r="C261" i="1"/>
  <c r="E261" i="1"/>
  <c r="E260" i="2"/>
  <c r="D260" i="2"/>
  <c r="B261" i="2"/>
  <c r="C261" i="2"/>
  <c r="E261" i="2"/>
  <c r="A262" i="2"/>
  <c r="B262" i="1"/>
  <c r="C262" i="1"/>
  <c r="E262" i="1"/>
  <c r="A263" i="1"/>
  <c r="D262" i="1"/>
  <c r="D261" i="1"/>
  <c r="B262" i="2"/>
  <c r="C262" i="2"/>
  <c r="A263" i="2"/>
  <c r="D261" i="2"/>
  <c r="B263" i="1"/>
  <c r="C263" i="1"/>
  <c r="E263" i="1"/>
  <c r="A264" i="1"/>
  <c r="D263" i="1"/>
  <c r="E262" i="2"/>
  <c r="D262" i="2"/>
  <c r="B263" i="2"/>
  <c r="C263" i="2"/>
  <c r="A264" i="2"/>
  <c r="B264" i="1"/>
  <c r="A265" i="1"/>
  <c r="C264" i="1"/>
  <c r="E264" i="1"/>
  <c r="E263" i="2"/>
  <c r="D263" i="2"/>
  <c r="B264" i="2"/>
  <c r="C264" i="2"/>
  <c r="A265" i="2"/>
  <c r="D264" i="1"/>
  <c r="B265" i="1"/>
  <c r="C265" i="1"/>
  <c r="E265" i="1"/>
  <c r="A266" i="1"/>
  <c r="E264" i="2"/>
  <c r="D264" i="2"/>
  <c r="B265" i="2"/>
  <c r="C265" i="2"/>
  <c r="E265" i="2"/>
  <c r="A266" i="2"/>
  <c r="B266" i="1"/>
  <c r="C266" i="1"/>
  <c r="A267" i="1"/>
  <c r="D265" i="1"/>
  <c r="A267" i="2"/>
  <c r="C266" i="2"/>
  <c r="E266" i="2"/>
  <c r="B266" i="2"/>
  <c r="D265" i="2"/>
  <c r="E266" i="1"/>
  <c r="D266" i="1"/>
  <c r="B267" i="1"/>
  <c r="C267" i="1"/>
  <c r="E267" i="1"/>
  <c r="A268" i="1"/>
  <c r="A268" i="2"/>
  <c r="B267" i="2"/>
  <c r="C267" i="2"/>
  <c r="E267" i="2"/>
  <c r="D267" i="2"/>
  <c r="D266" i="2"/>
  <c r="D267" i="1"/>
  <c r="B268" i="1"/>
  <c r="A269" i="1"/>
  <c r="C268" i="1"/>
  <c r="E268" i="1"/>
  <c r="B268" i="2"/>
  <c r="C268" i="2"/>
  <c r="E268" i="2"/>
  <c r="A269" i="2"/>
  <c r="B269" i="1"/>
  <c r="A270" i="1"/>
  <c r="C269" i="1"/>
  <c r="E269" i="1"/>
  <c r="D268" i="1"/>
  <c r="D268" i="2"/>
  <c r="A270" i="2"/>
  <c r="B269" i="2"/>
  <c r="C269" i="2"/>
  <c r="D269" i="1"/>
  <c r="B270" i="1"/>
  <c r="C270" i="1"/>
  <c r="E270" i="1"/>
  <c r="A271" i="1"/>
  <c r="E269" i="2"/>
  <c r="D269" i="2"/>
  <c r="B270" i="2"/>
  <c r="C270" i="2"/>
  <c r="A271" i="2"/>
  <c r="D270" i="1"/>
  <c r="B271" i="1"/>
  <c r="D271" i="1"/>
  <c r="A272" i="1"/>
  <c r="C271" i="1"/>
  <c r="E271" i="1"/>
  <c r="E270" i="2"/>
  <c r="D270" i="2"/>
  <c r="A272" i="2"/>
  <c r="B271" i="2"/>
  <c r="C271" i="2"/>
  <c r="B272" i="1"/>
  <c r="C272" i="1"/>
  <c r="E272" i="1"/>
  <c r="A273" i="1"/>
  <c r="E271" i="2"/>
  <c r="D271" i="2"/>
  <c r="A273" i="2"/>
  <c r="D272" i="2"/>
  <c r="C272" i="2"/>
  <c r="E272" i="2"/>
  <c r="B272" i="2"/>
  <c r="B273" i="1"/>
  <c r="A274" i="1"/>
  <c r="C273" i="1"/>
  <c r="E273" i="1"/>
  <c r="D272" i="1"/>
  <c r="B273" i="2"/>
  <c r="C273" i="2"/>
  <c r="A274" i="2"/>
  <c r="B274" i="1"/>
  <c r="A275" i="1"/>
  <c r="C274" i="1"/>
  <c r="E274" i="1"/>
  <c r="D273" i="1"/>
  <c r="E273" i="2"/>
  <c r="D273" i="2"/>
  <c r="B274" i="2"/>
  <c r="C274" i="2"/>
  <c r="A275" i="2"/>
  <c r="B275" i="1"/>
  <c r="C275" i="1"/>
  <c r="A276" i="1"/>
  <c r="D274" i="1"/>
  <c r="E274" i="2"/>
  <c r="D274" i="2"/>
  <c r="A276" i="2"/>
  <c r="B275" i="2"/>
  <c r="C275" i="2"/>
  <c r="E275" i="1"/>
  <c r="D275" i="1"/>
  <c r="B276" i="1"/>
  <c r="C276" i="1"/>
  <c r="E276" i="1"/>
  <c r="A277" i="1"/>
  <c r="E275" i="2"/>
  <c r="D275" i="2"/>
  <c r="B276" i="2"/>
  <c r="C276" i="2"/>
  <c r="E276" i="2"/>
  <c r="A277" i="2"/>
  <c r="D276" i="1"/>
  <c r="B277" i="1"/>
  <c r="C277" i="1"/>
  <c r="A278" i="1"/>
  <c r="B277" i="2"/>
  <c r="C277" i="2"/>
  <c r="A278" i="2"/>
  <c r="D276" i="2"/>
  <c r="E277" i="1"/>
  <c r="D277" i="1"/>
  <c r="B278" i="1"/>
  <c r="C278" i="1"/>
  <c r="A279" i="1"/>
  <c r="E277" i="2"/>
  <c r="D277" i="2"/>
  <c r="B278" i="2"/>
  <c r="C278" i="2"/>
  <c r="A279" i="2"/>
  <c r="E278" i="1"/>
  <c r="D278" i="1"/>
  <c r="B279" i="1"/>
  <c r="C279" i="1"/>
  <c r="A280" i="1"/>
  <c r="E278" i="2"/>
  <c r="D278" i="2"/>
  <c r="A280" i="2"/>
  <c r="B279" i="2"/>
  <c r="C279" i="2"/>
  <c r="E279" i="1"/>
  <c r="D279" i="1"/>
  <c r="B280" i="1"/>
  <c r="C280" i="1"/>
  <c r="A281" i="1"/>
  <c r="E279" i="2"/>
  <c r="D279" i="2"/>
  <c r="B280" i="2"/>
  <c r="C280" i="2"/>
  <c r="A281" i="2"/>
  <c r="E280" i="1"/>
  <c r="D280" i="1"/>
  <c r="B281" i="1"/>
  <c r="C281" i="1"/>
  <c r="A282" i="1"/>
  <c r="E280" i="2"/>
  <c r="D280" i="2"/>
  <c r="C281" i="2"/>
  <c r="E281" i="2"/>
  <c r="B281" i="2"/>
  <c r="A282" i="2"/>
  <c r="E281" i="1"/>
  <c r="D281" i="1"/>
  <c r="B282" i="1"/>
  <c r="C282" i="1"/>
  <c r="E282" i="1"/>
  <c r="A283" i="1"/>
  <c r="A283" i="2"/>
  <c r="B282" i="2"/>
  <c r="C282" i="2"/>
  <c r="D281" i="2"/>
  <c r="D282" i="1"/>
  <c r="B283" i="1"/>
  <c r="C283" i="1"/>
  <c r="E283" i="1"/>
  <c r="A284" i="1"/>
  <c r="E282" i="2"/>
  <c r="D282" i="2"/>
  <c r="A284" i="2"/>
  <c r="D283" i="2"/>
  <c r="B283" i="2"/>
  <c r="C283" i="2"/>
  <c r="E283" i="2"/>
  <c r="B284" i="1"/>
  <c r="C284" i="1"/>
  <c r="A285" i="1"/>
  <c r="D283" i="1"/>
  <c r="A285" i="2"/>
  <c r="B284" i="2"/>
  <c r="C284" i="2"/>
  <c r="E284" i="1"/>
  <c r="D284" i="1"/>
  <c r="B285" i="1"/>
  <c r="C285" i="1"/>
  <c r="E285" i="1"/>
  <c r="A286" i="1"/>
  <c r="E284" i="2"/>
  <c r="D284" i="2"/>
  <c r="A286" i="2"/>
  <c r="B285" i="2"/>
  <c r="C285" i="2"/>
  <c r="D285" i="1"/>
  <c r="B286" i="1"/>
  <c r="C286" i="1"/>
  <c r="E286" i="1"/>
  <c r="A287" i="1"/>
  <c r="E285" i="2"/>
  <c r="D285" i="2"/>
  <c r="A287" i="2"/>
  <c r="B286" i="2"/>
  <c r="C286" i="2"/>
  <c r="B287" i="1"/>
  <c r="C287" i="1"/>
  <c r="A288" i="1"/>
  <c r="D286" i="1"/>
  <c r="E286" i="2"/>
  <c r="D286" i="2"/>
  <c r="A288" i="2"/>
  <c r="B287" i="2"/>
  <c r="C287" i="2"/>
  <c r="E287" i="1"/>
  <c r="D287" i="1"/>
  <c r="B288" i="1"/>
  <c r="C288" i="1"/>
  <c r="E288" i="1"/>
  <c r="A289" i="1"/>
  <c r="E287" i="2"/>
  <c r="D287" i="2"/>
  <c r="B288" i="2"/>
  <c r="C288" i="2"/>
  <c r="E288" i="2"/>
  <c r="A289" i="2"/>
  <c r="D288" i="1"/>
  <c r="B289" i="1"/>
  <c r="C289" i="1"/>
  <c r="E289" i="1"/>
  <c r="A290" i="1"/>
  <c r="A290" i="2"/>
  <c r="B289" i="2"/>
  <c r="C289" i="2"/>
  <c r="D288" i="2"/>
  <c r="D289" i="1"/>
  <c r="B290" i="1"/>
  <c r="C290" i="1"/>
  <c r="E290" i="1"/>
  <c r="A291" i="1"/>
  <c r="E289" i="2"/>
  <c r="D289" i="2"/>
  <c r="B290" i="2"/>
  <c r="C290" i="2"/>
  <c r="A291" i="2"/>
  <c r="B291" i="1"/>
  <c r="C291" i="1"/>
  <c r="A292" i="1"/>
  <c r="D290" i="1"/>
  <c r="E290" i="2"/>
  <c r="D290" i="2"/>
  <c r="B291" i="2"/>
  <c r="C291" i="2"/>
  <c r="A292" i="2"/>
  <c r="E291" i="1"/>
  <c r="D291" i="1"/>
  <c r="B292" i="1"/>
  <c r="C292" i="1"/>
  <c r="A293" i="1"/>
  <c r="E291" i="2"/>
  <c r="D291" i="2"/>
  <c r="A293" i="2"/>
  <c r="B292" i="2"/>
  <c r="C292" i="2"/>
  <c r="E292" i="1"/>
  <c r="D292" i="1"/>
  <c r="B293" i="1"/>
  <c r="C293" i="1"/>
  <c r="A294" i="1"/>
  <c r="E292" i="2"/>
  <c r="D292" i="2"/>
  <c r="A294" i="2"/>
  <c r="B293" i="2"/>
  <c r="C293" i="2"/>
  <c r="E293" i="1"/>
  <c r="D293" i="1"/>
  <c r="B294" i="1"/>
  <c r="C294" i="1"/>
  <c r="E294" i="1"/>
  <c r="A295" i="1"/>
  <c r="E293" i="2"/>
  <c r="D293" i="2"/>
  <c r="A295" i="2"/>
  <c r="B294" i="2"/>
  <c r="C294" i="2"/>
  <c r="D294" i="1"/>
  <c r="B295" i="1"/>
  <c r="C295" i="1"/>
  <c r="E295" i="1"/>
  <c r="A296" i="1"/>
  <c r="E294" i="2"/>
  <c r="D294" i="2"/>
  <c r="A296" i="2"/>
  <c r="C295" i="2"/>
  <c r="E295" i="2"/>
  <c r="B295" i="2"/>
  <c r="B296" i="1"/>
  <c r="C296" i="1"/>
  <c r="E296" i="1"/>
  <c r="A297" i="1"/>
  <c r="D295" i="1"/>
  <c r="A297" i="2"/>
  <c r="C296" i="2"/>
  <c r="E296" i="2"/>
  <c r="B296" i="2"/>
  <c r="D295" i="2"/>
  <c r="B297" i="1"/>
  <c r="A298" i="1"/>
  <c r="C297" i="1"/>
  <c r="E297" i="1"/>
  <c r="D296" i="1"/>
  <c r="D296" i="2"/>
  <c r="B297" i="2"/>
  <c r="C297" i="2"/>
  <c r="E297" i="2"/>
  <c r="F297" i="2"/>
  <c r="A298" i="2"/>
  <c r="D297" i="1"/>
  <c r="B298" i="1"/>
  <c r="C298" i="1"/>
  <c r="E298" i="1"/>
  <c r="A299" i="1"/>
  <c r="A299" i="2"/>
  <c r="B298" i="2"/>
  <c r="C298" i="2"/>
  <c r="D297" i="2"/>
  <c r="B299" i="1"/>
  <c r="C299" i="1"/>
  <c r="A300" i="1"/>
  <c r="D298" i="1"/>
  <c r="E298" i="2"/>
  <c r="D298" i="2"/>
  <c r="C299" i="2"/>
  <c r="E299" i="2"/>
  <c r="A300" i="2"/>
  <c r="D299" i="2"/>
  <c r="B299" i="2"/>
  <c r="E299" i="1"/>
  <c r="D299" i="1"/>
  <c r="B300" i="1"/>
  <c r="C300" i="1"/>
  <c r="A301" i="1"/>
  <c r="A301" i="2"/>
  <c r="B300" i="2"/>
  <c r="C300" i="2"/>
  <c r="E300" i="2"/>
  <c r="E300" i="1"/>
  <c r="D300" i="1"/>
  <c r="B301" i="1"/>
  <c r="C301" i="1"/>
  <c r="A302" i="1"/>
  <c r="D300" i="2"/>
  <c r="A302" i="2"/>
  <c r="C301" i="2"/>
  <c r="E301" i="2"/>
  <c r="D301" i="2"/>
  <c r="B301" i="2"/>
  <c r="E301" i="1"/>
  <c r="D301" i="1"/>
  <c r="B302" i="1"/>
  <c r="C302" i="1"/>
  <c r="E302" i="1"/>
  <c r="A303" i="1"/>
  <c r="A303" i="2"/>
  <c r="B302" i="2"/>
  <c r="C302" i="2"/>
  <c r="D302" i="1"/>
  <c r="B303" i="1"/>
  <c r="C303" i="1"/>
  <c r="E303" i="1"/>
  <c r="A304" i="1"/>
  <c r="E302" i="2"/>
  <c r="D302" i="2"/>
  <c r="C303" i="2"/>
  <c r="E303" i="2"/>
  <c r="A304" i="2"/>
  <c r="B303" i="2"/>
  <c r="B304" i="1"/>
  <c r="C304" i="1"/>
  <c r="A305" i="1"/>
  <c r="D303" i="1"/>
  <c r="B304" i="2"/>
  <c r="C304" i="2"/>
  <c r="E304" i="2"/>
  <c r="A305" i="2"/>
  <c r="D304" i="2"/>
  <c r="D303" i="2"/>
  <c r="E304" i="1"/>
  <c r="D304" i="1"/>
  <c r="B305" i="1"/>
  <c r="C305" i="1"/>
  <c r="A306" i="1"/>
  <c r="A306" i="2"/>
  <c r="B305" i="2"/>
  <c r="C305" i="2"/>
  <c r="E305" i="1"/>
  <c r="D305" i="1"/>
  <c r="B306" i="1"/>
  <c r="C306" i="1"/>
  <c r="E306" i="1"/>
  <c r="A307" i="1"/>
  <c r="E305" i="2"/>
  <c r="D305" i="2"/>
  <c r="B306" i="2"/>
  <c r="C306" i="2"/>
  <c r="A307" i="2"/>
  <c r="D306" i="1"/>
  <c r="B307" i="1"/>
  <c r="C307" i="1"/>
  <c r="A308" i="1"/>
  <c r="E306" i="2"/>
  <c r="D306" i="2"/>
  <c r="B307" i="2"/>
  <c r="C307" i="2"/>
  <c r="A308" i="2"/>
  <c r="E307" i="1"/>
  <c r="D307" i="1"/>
  <c r="B308" i="1"/>
  <c r="C308" i="1"/>
  <c r="E308" i="1"/>
  <c r="A309" i="1"/>
  <c r="E307" i="2"/>
  <c r="D307" i="2"/>
  <c r="A309" i="2"/>
  <c r="B308" i="2"/>
  <c r="C308" i="2"/>
  <c r="D308" i="1"/>
  <c r="B309" i="1"/>
  <c r="C309" i="1"/>
  <c r="A310" i="1"/>
  <c r="E308" i="2"/>
  <c r="D308" i="2"/>
  <c r="C309" i="2"/>
  <c r="E309" i="2"/>
  <c r="A310" i="2"/>
  <c r="B309" i="2"/>
  <c r="E309" i="1"/>
  <c r="D309" i="1"/>
  <c r="B310" i="1"/>
  <c r="C310" i="1"/>
  <c r="A311" i="1"/>
  <c r="A311" i="2"/>
  <c r="B310" i="2"/>
  <c r="C310" i="2"/>
  <c r="E310" i="2"/>
  <c r="D309" i="2"/>
  <c r="E310" i="1"/>
  <c r="D310" i="1"/>
  <c r="B311" i="1"/>
  <c r="C311" i="1"/>
  <c r="E311" i="1"/>
  <c r="A312" i="1"/>
  <c r="D310" i="2"/>
  <c r="A312" i="2"/>
  <c r="B311" i="2"/>
  <c r="C311" i="2"/>
  <c r="B312" i="1"/>
  <c r="A313" i="1"/>
  <c r="C312" i="1"/>
  <c r="E312" i="1"/>
  <c r="D311" i="1"/>
  <c r="E311" i="2"/>
  <c r="D311" i="2"/>
  <c r="B312" i="2"/>
  <c r="C312" i="2"/>
  <c r="E312" i="2"/>
  <c r="A313" i="2"/>
  <c r="D312" i="1"/>
  <c r="B313" i="1"/>
  <c r="C313" i="1"/>
  <c r="E313" i="1"/>
  <c r="A314" i="1"/>
  <c r="A314" i="2"/>
  <c r="B313" i="2"/>
  <c r="C313" i="2"/>
  <c r="D312" i="2"/>
  <c r="B314" i="1"/>
  <c r="C314" i="1"/>
  <c r="E314" i="1"/>
  <c r="D314" i="1"/>
  <c r="A315" i="1"/>
  <c r="D313" i="1"/>
  <c r="E313" i="2"/>
  <c r="D313" i="2"/>
  <c r="C314" i="2"/>
  <c r="E314" i="2"/>
  <c r="D314" i="2"/>
  <c r="A315" i="2"/>
  <c r="B314" i="2"/>
  <c r="B315" i="1"/>
  <c r="C315" i="1"/>
  <c r="E315" i="1"/>
  <c r="A316" i="1"/>
  <c r="A316" i="2"/>
  <c r="B315" i="2"/>
  <c r="C315" i="2"/>
  <c r="B316" i="1"/>
  <c r="C316" i="1"/>
  <c r="E316" i="1"/>
  <c r="A317" i="1"/>
  <c r="D315" i="1"/>
  <c r="E315" i="2"/>
  <c r="D315" i="2"/>
  <c r="A317" i="2"/>
  <c r="B316" i="2"/>
  <c r="C316" i="2"/>
  <c r="B317" i="1"/>
  <c r="C317" i="1"/>
  <c r="E317" i="1"/>
  <c r="A318" i="1"/>
  <c r="D316" i="1"/>
  <c r="E316" i="2"/>
  <c r="D316" i="2"/>
  <c r="B317" i="2"/>
  <c r="C317" i="2"/>
  <c r="A318" i="2"/>
  <c r="B318" i="1"/>
  <c r="C318" i="1"/>
  <c r="E318" i="1"/>
  <c r="A319" i="1"/>
  <c r="D318" i="1"/>
  <c r="D317" i="1"/>
  <c r="E317" i="2"/>
  <c r="D317" i="2"/>
  <c r="A319" i="2"/>
  <c r="B318" i="2"/>
  <c r="C318" i="2"/>
  <c r="B319" i="1"/>
  <c r="C319" i="1"/>
  <c r="E319" i="1"/>
  <c r="A320" i="1"/>
  <c r="D319" i="1"/>
  <c r="E318" i="2"/>
  <c r="D318" i="2"/>
  <c r="A320" i="2"/>
  <c r="B319" i="2"/>
  <c r="C319" i="2"/>
  <c r="B320" i="1"/>
  <c r="A321" i="1"/>
  <c r="C320" i="1"/>
  <c r="E320" i="1"/>
  <c r="E319" i="2"/>
  <c r="D319" i="2"/>
  <c r="C320" i="2"/>
  <c r="E320" i="2"/>
  <c r="A321" i="2"/>
  <c r="B320" i="2"/>
  <c r="B321" i="1"/>
  <c r="C321" i="1"/>
  <c r="E321" i="1"/>
  <c r="A322" i="1"/>
  <c r="D320" i="1"/>
  <c r="A322" i="2"/>
  <c r="B321" i="2"/>
  <c r="C321" i="2"/>
  <c r="D320" i="2"/>
  <c r="B322" i="1"/>
  <c r="C322" i="1"/>
  <c r="E322" i="1"/>
  <c r="A323" i="1"/>
  <c r="D322" i="1"/>
  <c r="D321" i="1"/>
  <c r="E321" i="2"/>
  <c r="D321" i="2"/>
  <c r="B322" i="2"/>
  <c r="C322" i="2"/>
  <c r="E322" i="2"/>
  <c r="A323" i="2"/>
  <c r="B323" i="1"/>
  <c r="C323" i="1"/>
  <c r="E323" i="1"/>
  <c r="D323" i="1"/>
  <c r="A324" i="1"/>
  <c r="D322" i="2"/>
  <c r="B323" i="2"/>
  <c r="A324" i="2"/>
  <c r="D323" i="2"/>
  <c r="C323" i="2"/>
  <c r="E323" i="2"/>
  <c r="B324" i="1"/>
  <c r="C324" i="1"/>
  <c r="E324" i="1"/>
  <c r="A325" i="1"/>
  <c r="A325" i="2"/>
  <c r="B324" i="2"/>
  <c r="C324" i="2"/>
  <c r="E324" i="2"/>
  <c r="D324" i="2"/>
  <c r="D324" i="1"/>
  <c r="B325" i="1"/>
  <c r="C325" i="1"/>
  <c r="A326" i="1"/>
  <c r="B325" i="2"/>
  <c r="C325" i="2"/>
  <c r="E325" i="2"/>
  <c r="A326" i="2"/>
  <c r="E325" i="1"/>
  <c r="D325" i="1"/>
  <c r="B326" i="1"/>
  <c r="C326" i="1"/>
  <c r="E326" i="1"/>
  <c r="A327" i="1"/>
  <c r="D325" i="2"/>
  <c r="B326" i="2"/>
  <c r="C326" i="2"/>
  <c r="A327" i="2"/>
  <c r="B327" i="1"/>
  <c r="A328" i="1"/>
  <c r="C327" i="1"/>
  <c r="E327" i="1"/>
  <c r="D326" i="1"/>
  <c r="E326" i="2"/>
  <c r="D326" i="2"/>
  <c r="B327" i="2"/>
  <c r="C327" i="2"/>
  <c r="E327" i="2"/>
  <c r="A328" i="2"/>
  <c r="D327" i="1"/>
  <c r="B328" i="1"/>
  <c r="A329" i="1"/>
  <c r="C328" i="1"/>
  <c r="E328" i="1"/>
  <c r="D327" i="2"/>
  <c r="B328" i="2"/>
  <c r="C328" i="2"/>
  <c r="E328" i="2"/>
  <c r="A329" i="2"/>
  <c r="B329" i="1"/>
  <c r="C329" i="1"/>
  <c r="E329" i="1"/>
  <c r="A330" i="1"/>
  <c r="D328" i="1"/>
  <c r="A330" i="2"/>
  <c r="B329" i="2"/>
  <c r="C329" i="2"/>
  <c r="D328" i="2"/>
  <c r="D329" i="1"/>
  <c r="B330" i="1"/>
  <c r="C330" i="1"/>
  <c r="E330" i="1"/>
  <c r="A331" i="1"/>
  <c r="E329" i="2"/>
  <c r="D329" i="2"/>
  <c r="A331" i="2"/>
  <c r="B330" i="2"/>
  <c r="C330" i="2"/>
  <c r="B331" i="1"/>
  <c r="C331" i="1"/>
  <c r="E331" i="1"/>
  <c r="A332" i="1"/>
  <c r="D331" i="1"/>
  <c r="D330" i="1"/>
  <c r="E330" i="2"/>
  <c r="D330" i="2"/>
  <c r="B331" i="2"/>
  <c r="C331" i="2"/>
  <c r="E331" i="2"/>
  <c r="A332" i="2"/>
  <c r="B332" i="1"/>
  <c r="A333" i="1"/>
  <c r="C332" i="1"/>
  <c r="E332" i="1"/>
  <c r="D332" i="1"/>
  <c r="D331" i="2"/>
  <c r="B332" i="2"/>
  <c r="C332" i="2"/>
  <c r="E332" i="2"/>
  <c r="A333" i="2"/>
  <c r="B333" i="1"/>
  <c r="C333" i="1"/>
  <c r="E333" i="1"/>
  <c r="A334" i="1"/>
  <c r="D332" i="2"/>
  <c r="B333" i="2"/>
  <c r="C333" i="2"/>
  <c r="A334" i="2"/>
  <c r="B334" i="1"/>
  <c r="C334" i="1"/>
  <c r="E334" i="1"/>
  <c r="A335" i="1"/>
  <c r="D334" i="1"/>
  <c r="D333" i="1"/>
  <c r="E333" i="2"/>
  <c r="D333" i="2"/>
  <c r="B334" i="2"/>
  <c r="C334" i="2"/>
  <c r="A335" i="2"/>
  <c r="B335" i="1"/>
  <c r="C335" i="1"/>
  <c r="E335" i="1"/>
  <c r="A336" i="1"/>
  <c r="D335" i="1"/>
  <c r="E334" i="2"/>
  <c r="D334" i="2"/>
  <c r="A336" i="2"/>
  <c r="B335" i="2"/>
  <c r="C335" i="2"/>
  <c r="B336" i="1"/>
  <c r="C336" i="1"/>
  <c r="E336" i="1"/>
  <c r="D336" i="1"/>
  <c r="A337" i="1"/>
  <c r="E335" i="2"/>
  <c r="D335" i="2"/>
  <c r="B336" i="2"/>
  <c r="C336" i="2"/>
  <c r="E336" i="2"/>
  <c r="A337" i="2"/>
  <c r="B337" i="1"/>
  <c r="C337" i="1"/>
  <c r="E337" i="1"/>
  <c r="D337" i="1"/>
  <c r="A338" i="1"/>
  <c r="A338" i="2"/>
  <c r="B337" i="2"/>
  <c r="C337" i="2"/>
  <c r="D336" i="2"/>
  <c r="B338" i="1"/>
  <c r="C338" i="1"/>
  <c r="E338" i="1"/>
  <c r="D338" i="1"/>
  <c r="A339" i="1"/>
  <c r="E337" i="2"/>
  <c r="D337" i="2"/>
  <c r="A339" i="2"/>
  <c r="B338" i="2"/>
  <c r="C338" i="2"/>
  <c r="B339" i="1"/>
  <c r="A340" i="1"/>
  <c r="C339" i="1"/>
  <c r="E339" i="1"/>
  <c r="D339" i="1"/>
  <c r="E338" i="2"/>
  <c r="D338" i="2"/>
  <c r="C339" i="2"/>
  <c r="E339" i="2"/>
  <c r="A340" i="2"/>
  <c r="B339" i="2"/>
  <c r="B340" i="1"/>
  <c r="C340" i="1"/>
  <c r="E340" i="1"/>
  <c r="A341" i="1"/>
  <c r="D340" i="1"/>
  <c r="B340" i="2"/>
  <c r="C340" i="2"/>
  <c r="A341" i="2"/>
  <c r="D339" i="2"/>
  <c r="B341" i="1"/>
  <c r="A342" i="1"/>
  <c r="C341" i="1"/>
  <c r="E341" i="1"/>
  <c r="E340" i="2"/>
  <c r="D340" i="2"/>
  <c r="A342" i="2"/>
  <c r="B341" i="2"/>
  <c r="C341" i="2"/>
  <c r="D341" i="1"/>
  <c r="B342" i="1"/>
  <c r="C342" i="1"/>
  <c r="E342" i="1"/>
  <c r="D342" i="1"/>
  <c r="A343" i="1"/>
  <c r="E341" i="2"/>
  <c r="D341" i="2"/>
  <c r="A343" i="2"/>
  <c r="D342" i="2"/>
  <c r="B342" i="2"/>
  <c r="C342" i="2"/>
  <c r="E342" i="2"/>
  <c r="B343" i="1"/>
  <c r="A344" i="1"/>
  <c r="C343" i="1"/>
  <c r="E343" i="1"/>
  <c r="B343" i="2"/>
  <c r="C343" i="2"/>
  <c r="E343" i="2"/>
  <c r="A344" i="2"/>
  <c r="D343" i="2"/>
  <c r="B344" i="1"/>
  <c r="A345" i="1"/>
  <c r="C344" i="1"/>
  <c r="E344" i="1"/>
  <c r="D343" i="1"/>
  <c r="B344" i="2"/>
  <c r="C344" i="2"/>
  <c r="E344" i="2"/>
  <c r="A345" i="2"/>
  <c r="B345" i="1"/>
  <c r="C345" i="1"/>
  <c r="E345" i="1"/>
  <c r="D345" i="1"/>
  <c r="A346" i="1"/>
  <c r="D344" i="1"/>
  <c r="A346" i="2"/>
  <c r="B345" i="2"/>
  <c r="C345" i="2"/>
  <c r="D344" i="2"/>
  <c r="B346" i="1"/>
  <c r="C346" i="1"/>
  <c r="E346" i="1"/>
  <c r="A347" i="1"/>
  <c r="D346" i="1"/>
  <c r="E345" i="2"/>
  <c r="D345" i="2"/>
  <c r="B346" i="2"/>
  <c r="C346" i="2"/>
  <c r="E346" i="2"/>
  <c r="A347" i="2"/>
  <c r="B347" i="1"/>
  <c r="C347" i="1"/>
  <c r="E347" i="1"/>
  <c r="D347" i="1"/>
  <c r="A348" i="1"/>
  <c r="A348" i="2"/>
  <c r="B347" i="2"/>
  <c r="C347" i="2"/>
  <c r="D346" i="2"/>
  <c r="B348" i="1"/>
  <c r="A349" i="1"/>
  <c r="C348" i="1"/>
  <c r="E348" i="1"/>
  <c r="E347" i="2"/>
  <c r="D347" i="2"/>
  <c r="B348" i="2"/>
  <c r="C348" i="2"/>
  <c r="A349" i="2"/>
  <c r="D348" i="1"/>
  <c r="B349" i="1"/>
  <c r="A350" i="1"/>
  <c r="C349" i="1"/>
  <c r="E349" i="1"/>
  <c r="E348" i="2"/>
  <c r="D348" i="2"/>
  <c r="B349" i="2"/>
  <c r="C349" i="2"/>
  <c r="A350" i="2"/>
  <c r="B350" i="1"/>
  <c r="C350" i="1"/>
  <c r="E350" i="1"/>
  <c r="A351" i="1"/>
  <c r="D350" i="1"/>
  <c r="D349" i="1"/>
  <c r="E349" i="2"/>
  <c r="D349" i="2"/>
  <c r="A351" i="2"/>
  <c r="C350" i="2"/>
  <c r="E350" i="2"/>
  <c r="B350" i="2"/>
  <c r="B351" i="1"/>
  <c r="A352" i="1"/>
  <c r="C351" i="1"/>
  <c r="E351" i="1"/>
  <c r="A352" i="2"/>
  <c r="B351" i="2"/>
  <c r="C351" i="2"/>
  <c r="D350" i="2"/>
  <c r="D351" i="1"/>
  <c r="B352" i="1"/>
  <c r="A353" i="1"/>
  <c r="C352" i="1"/>
  <c r="E352" i="1"/>
  <c r="E351" i="2"/>
  <c r="D351" i="2"/>
  <c r="A353" i="2"/>
  <c r="B352" i="2"/>
  <c r="C352" i="2"/>
  <c r="B353" i="1"/>
  <c r="C353" i="1"/>
  <c r="E353" i="1"/>
  <c r="D353" i="1"/>
  <c r="A354" i="1"/>
  <c r="D352" i="1"/>
  <c r="E352" i="2"/>
  <c r="D352" i="2"/>
  <c r="B353" i="2"/>
  <c r="C353" i="2"/>
  <c r="A354" i="2"/>
  <c r="B354" i="1"/>
  <c r="C354" i="1"/>
  <c r="E354" i="1"/>
  <c r="A355" i="1"/>
  <c r="D354" i="1"/>
  <c r="E353" i="2"/>
  <c r="D353" i="2"/>
  <c r="A355" i="2"/>
  <c r="B354" i="2"/>
  <c r="C354" i="2"/>
  <c r="B355" i="1"/>
  <c r="C355" i="1"/>
  <c r="E355" i="1"/>
  <c r="A356" i="1"/>
  <c r="E354" i="2"/>
  <c r="D354" i="2"/>
  <c r="A356" i="2"/>
  <c r="B355" i="2"/>
  <c r="C355" i="2"/>
  <c r="B356" i="1"/>
  <c r="A357" i="1"/>
  <c r="C356" i="1"/>
  <c r="E356" i="1"/>
  <c r="D355" i="1"/>
  <c r="E355" i="2"/>
  <c r="D355" i="2"/>
  <c r="B356" i="2"/>
  <c r="C356" i="2"/>
  <c r="A357" i="2"/>
  <c r="B357" i="1"/>
  <c r="C357" i="1"/>
  <c r="E357" i="1"/>
  <c r="D357" i="1"/>
  <c r="A358" i="1"/>
  <c r="D356" i="1"/>
  <c r="E356" i="2"/>
  <c r="D356" i="2"/>
  <c r="A358" i="2"/>
  <c r="D357" i="2"/>
  <c r="B357" i="2"/>
  <c r="C357" i="2"/>
  <c r="E357" i="2"/>
  <c r="B358" i="1"/>
  <c r="C358" i="1"/>
  <c r="E358" i="1"/>
  <c r="D358" i="1"/>
  <c r="A359" i="1"/>
  <c r="B358" i="2"/>
  <c r="C358" i="2"/>
  <c r="A359" i="2"/>
  <c r="B359" i="1"/>
  <c r="A360" i="1"/>
  <c r="C359" i="1"/>
  <c r="E359" i="1"/>
  <c r="E358" i="2"/>
  <c r="D358" i="2"/>
  <c r="B359" i="2"/>
  <c r="C359" i="2"/>
  <c r="E359" i="2"/>
  <c r="A360" i="2"/>
  <c r="D359" i="1"/>
  <c r="B360" i="1"/>
  <c r="C360" i="1"/>
  <c r="E360" i="1"/>
  <c r="A361" i="1"/>
  <c r="D359" i="2"/>
  <c r="A361" i="2"/>
  <c r="C360" i="2"/>
  <c r="E360" i="2"/>
  <c r="D360" i="2"/>
  <c r="B360" i="2"/>
  <c r="B361" i="1"/>
  <c r="A362" i="1"/>
  <c r="C361" i="1"/>
  <c r="E361" i="1"/>
  <c r="D360" i="1"/>
  <c r="A362" i="2"/>
  <c r="B361" i="2"/>
  <c r="C361" i="2"/>
  <c r="B362" i="1"/>
  <c r="C362" i="1"/>
  <c r="E362" i="1"/>
  <c r="D362" i="1"/>
  <c r="D361" i="1"/>
  <c r="E361" i="2"/>
  <c r="D361" i="2"/>
  <c r="B362" i="2"/>
  <c r="C362" i="2"/>
  <c r="E362" i="2"/>
  <c r="D362" i="2"/>
</calcChain>
</file>

<file path=xl/sharedStrings.xml><?xml version="1.0" encoding="utf-8"?>
<sst xmlns="http://schemas.openxmlformats.org/spreadsheetml/2006/main" count="31" uniqueCount="16">
  <si>
    <t>r</t>
  </si>
  <si>
    <t>K</t>
  </si>
  <si>
    <t>y</t>
  </si>
  <si>
    <t>gamma</t>
  </si>
  <si>
    <t>m</t>
  </si>
  <si>
    <t>c</t>
  </si>
  <si>
    <t>q</t>
  </si>
  <si>
    <t>alpha</t>
  </si>
  <si>
    <t>stock</t>
  </si>
  <si>
    <t>ds/dt</t>
  </si>
  <si>
    <t>harvest</t>
  </si>
  <si>
    <t>benefit</t>
  </si>
  <si>
    <t>effort</t>
  </si>
  <si>
    <t>value</t>
  </si>
  <si>
    <t>delta</t>
  </si>
  <si>
    <t>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</si>
</sst>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normal!$F$1</c:f>
              <c:strCache>
                <c:ptCount val="1"/>
                <c:pt idx="0">
                  <c:v>value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normal!$A$2:$A$425</c:f>
              <c:numCache>
                <c:formatCode>0.00E+00</c:formatCode>
                <c:ptCount val="424"/>
                <c:pt idx="0" formatCode="General">
                  <c:v>0</c:v>
                </c:pt>
                <c:pt idx="1">
                  <c:v>1000000</c:v>
                </c:pt>
                <c:pt idx="2">
                  <c:v>2000000</c:v>
                </c:pt>
                <c:pt idx="3">
                  <c:v>3000000</c:v>
                </c:pt>
                <c:pt idx="4">
                  <c:v>4000000</c:v>
                </c:pt>
                <c:pt idx="5">
                  <c:v>5000000</c:v>
                </c:pt>
                <c:pt idx="6">
                  <c:v>6000000</c:v>
                </c:pt>
                <c:pt idx="7">
                  <c:v>7000000</c:v>
                </c:pt>
                <c:pt idx="8">
                  <c:v>8000000</c:v>
                </c:pt>
                <c:pt idx="9">
                  <c:v>9000000</c:v>
                </c:pt>
                <c:pt idx="10">
                  <c:v>10000000</c:v>
                </c:pt>
                <c:pt idx="11">
                  <c:v>11000000</c:v>
                </c:pt>
                <c:pt idx="12">
                  <c:v>12000000</c:v>
                </c:pt>
                <c:pt idx="13">
                  <c:v>13000000</c:v>
                </c:pt>
                <c:pt idx="14">
                  <c:v>14000000</c:v>
                </c:pt>
                <c:pt idx="15">
                  <c:v>15000000</c:v>
                </c:pt>
                <c:pt idx="16">
                  <c:v>16000000</c:v>
                </c:pt>
                <c:pt idx="17">
                  <c:v>17000000</c:v>
                </c:pt>
                <c:pt idx="18">
                  <c:v>18000000</c:v>
                </c:pt>
                <c:pt idx="19">
                  <c:v>19000000</c:v>
                </c:pt>
                <c:pt idx="20">
                  <c:v>20000000</c:v>
                </c:pt>
                <c:pt idx="21">
                  <c:v>21000000</c:v>
                </c:pt>
                <c:pt idx="22">
                  <c:v>22000000</c:v>
                </c:pt>
                <c:pt idx="23">
                  <c:v>23000000</c:v>
                </c:pt>
                <c:pt idx="24">
                  <c:v>24000000</c:v>
                </c:pt>
                <c:pt idx="25">
                  <c:v>25000000</c:v>
                </c:pt>
                <c:pt idx="26">
                  <c:v>26000000</c:v>
                </c:pt>
                <c:pt idx="27">
                  <c:v>27000000</c:v>
                </c:pt>
                <c:pt idx="28">
                  <c:v>28000000</c:v>
                </c:pt>
                <c:pt idx="29">
                  <c:v>29000000</c:v>
                </c:pt>
                <c:pt idx="30">
                  <c:v>30000000</c:v>
                </c:pt>
                <c:pt idx="31">
                  <c:v>31000000</c:v>
                </c:pt>
                <c:pt idx="32">
                  <c:v>32000000</c:v>
                </c:pt>
                <c:pt idx="33">
                  <c:v>33000000</c:v>
                </c:pt>
                <c:pt idx="34">
                  <c:v>34000000</c:v>
                </c:pt>
                <c:pt idx="35">
                  <c:v>35000000</c:v>
                </c:pt>
                <c:pt idx="36">
                  <c:v>36000000</c:v>
                </c:pt>
                <c:pt idx="37">
                  <c:v>37000000</c:v>
                </c:pt>
                <c:pt idx="38">
                  <c:v>38000000</c:v>
                </c:pt>
                <c:pt idx="39">
                  <c:v>39000000</c:v>
                </c:pt>
                <c:pt idx="40">
                  <c:v>40000000</c:v>
                </c:pt>
                <c:pt idx="41">
                  <c:v>41000000</c:v>
                </c:pt>
                <c:pt idx="42">
                  <c:v>42000000</c:v>
                </c:pt>
                <c:pt idx="43">
                  <c:v>43000000</c:v>
                </c:pt>
                <c:pt idx="44">
                  <c:v>44000000</c:v>
                </c:pt>
                <c:pt idx="45">
                  <c:v>45000000</c:v>
                </c:pt>
                <c:pt idx="46">
                  <c:v>46000000</c:v>
                </c:pt>
                <c:pt idx="47">
                  <c:v>47000000</c:v>
                </c:pt>
                <c:pt idx="48">
                  <c:v>48000000</c:v>
                </c:pt>
                <c:pt idx="49">
                  <c:v>49000000</c:v>
                </c:pt>
                <c:pt idx="50">
                  <c:v>50000000</c:v>
                </c:pt>
                <c:pt idx="51">
                  <c:v>51000000</c:v>
                </c:pt>
                <c:pt idx="52">
                  <c:v>52000000</c:v>
                </c:pt>
                <c:pt idx="53">
                  <c:v>53000000</c:v>
                </c:pt>
                <c:pt idx="54">
                  <c:v>54000000</c:v>
                </c:pt>
                <c:pt idx="55">
                  <c:v>55000000</c:v>
                </c:pt>
                <c:pt idx="56">
                  <c:v>56000000</c:v>
                </c:pt>
                <c:pt idx="57">
                  <c:v>57000000</c:v>
                </c:pt>
                <c:pt idx="58">
                  <c:v>58000000</c:v>
                </c:pt>
                <c:pt idx="59">
                  <c:v>59000000</c:v>
                </c:pt>
                <c:pt idx="60">
                  <c:v>60000000</c:v>
                </c:pt>
                <c:pt idx="61">
                  <c:v>61000000</c:v>
                </c:pt>
                <c:pt idx="62">
                  <c:v>62000000</c:v>
                </c:pt>
                <c:pt idx="63">
                  <c:v>63000000</c:v>
                </c:pt>
                <c:pt idx="64">
                  <c:v>64000000</c:v>
                </c:pt>
                <c:pt idx="65">
                  <c:v>65000000</c:v>
                </c:pt>
                <c:pt idx="66">
                  <c:v>66000000</c:v>
                </c:pt>
                <c:pt idx="67">
                  <c:v>67000000</c:v>
                </c:pt>
                <c:pt idx="68">
                  <c:v>68000000</c:v>
                </c:pt>
                <c:pt idx="69">
                  <c:v>69000000</c:v>
                </c:pt>
                <c:pt idx="70">
                  <c:v>70000000</c:v>
                </c:pt>
                <c:pt idx="71">
                  <c:v>71000000</c:v>
                </c:pt>
                <c:pt idx="72">
                  <c:v>72000000</c:v>
                </c:pt>
                <c:pt idx="73">
                  <c:v>73000000</c:v>
                </c:pt>
                <c:pt idx="74">
                  <c:v>74000000</c:v>
                </c:pt>
                <c:pt idx="75">
                  <c:v>75000000</c:v>
                </c:pt>
                <c:pt idx="76">
                  <c:v>76000000</c:v>
                </c:pt>
                <c:pt idx="77">
                  <c:v>77000000</c:v>
                </c:pt>
                <c:pt idx="78">
                  <c:v>78000000</c:v>
                </c:pt>
                <c:pt idx="79">
                  <c:v>79000000</c:v>
                </c:pt>
                <c:pt idx="80">
                  <c:v>80000000</c:v>
                </c:pt>
                <c:pt idx="81">
                  <c:v>81000000</c:v>
                </c:pt>
                <c:pt idx="82">
                  <c:v>82000000</c:v>
                </c:pt>
                <c:pt idx="83">
                  <c:v>83000000</c:v>
                </c:pt>
                <c:pt idx="84">
                  <c:v>84000000</c:v>
                </c:pt>
                <c:pt idx="85">
                  <c:v>85000000</c:v>
                </c:pt>
                <c:pt idx="86">
                  <c:v>86000000</c:v>
                </c:pt>
                <c:pt idx="87">
                  <c:v>87000000</c:v>
                </c:pt>
                <c:pt idx="88">
                  <c:v>88000000</c:v>
                </c:pt>
                <c:pt idx="89">
                  <c:v>89000000</c:v>
                </c:pt>
                <c:pt idx="90">
                  <c:v>90000000</c:v>
                </c:pt>
                <c:pt idx="91">
                  <c:v>91000000</c:v>
                </c:pt>
                <c:pt idx="92">
                  <c:v>92000000</c:v>
                </c:pt>
                <c:pt idx="93">
                  <c:v>93000000</c:v>
                </c:pt>
                <c:pt idx="94">
                  <c:v>94000000</c:v>
                </c:pt>
                <c:pt idx="95">
                  <c:v>95000000</c:v>
                </c:pt>
                <c:pt idx="96">
                  <c:v>96000000</c:v>
                </c:pt>
                <c:pt idx="97">
                  <c:v>97000000</c:v>
                </c:pt>
                <c:pt idx="98">
                  <c:v>98000000</c:v>
                </c:pt>
                <c:pt idx="99">
                  <c:v>99000000</c:v>
                </c:pt>
                <c:pt idx="100">
                  <c:v>100000000</c:v>
                </c:pt>
                <c:pt idx="101">
                  <c:v>101000000</c:v>
                </c:pt>
                <c:pt idx="102">
                  <c:v>102000000</c:v>
                </c:pt>
                <c:pt idx="103">
                  <c:v>103000000</c:v>
                </c:pt>
                <c:pt idx="104">
                  <c:v>104000000</c:v>
                </c:pt>
                <c:pt idx="105">
                  <c:v>105000000</c:v>
                </c:pt>
                <c:pt idx="106">
                  <c:v>106000000</c:v>
                </c:pt>
                <c:pt idx="107">
                  <c:v>107000000</c:v>
                </c:pt>
                <c:pt idx="108">
                  <c:v>108000000</c:v>
                </c:pt>
                <c:pt idx="109">
                  <c:v>109000000</c:v>
                </c:pt>
                <c:pt idx="110">
                  <c:v>110000000</c:v>
                </c:pt>
                <c:pt idx="111">
                  <c:v>111000000</c:v>
                </c:pt>
                <c:pt idx="112">
                  <c:v>112000000</c:v>
                </c:pt>
                <c:pt idx="113">
                  <c:v>113000000</c:v>
                </c:pt>
                <c:pt idx="114">
                  <c:v>114000000</c:v>
                </c:pt>
                <c:pt idx="115">
                  <c:v>115000000</c:v>
                </c:pt>
                <c:pt idx="116">
                  <c:v>116000000</c:v>
                </c:pt>
                <c:pt idx="117">
                  <c:v>117000000</c:v>
                </c:pt>
                <c:pt idx="118">
                  <c:v>118000000</c:v>
                </c:pt>
                <c:pt idx="119">
                  <c:v>119000000</c:v>
                </c:pt>
                <c:pt idx="120">
                  <c:v>120000000</c:v>
                </c:pt>
                <c:pt idx="121">
                  <c:v>121000000</c:v>
                </c:pt>
                <c:pt idx="122">
                  <c:v>122000000</c:v>
                </c:pt>
                <c:pt idx="123">
                  <c:v>123000000</c:v>
                </c:pt>
                <c:pt idx="124">
                  <c:v>124000000</c:v>
                </c:pt>
                <c:pt idx="125">
                  <c:v>125000000</c:v>
                </c:pt>
                <c:pt idx="126">
                  <c:v>126000000</c:v>
                </c:pt>
                <c:pt idx="127">
                  <c:v>127000000</c:v>
                </c:pt>
                <c:pt idx="128">
                  <c:v>128000000</c:v>
                </c:pt>
                <c:pt idx="129">
                  <c:v>129000000</c:v>
                </c:pt>
                <c:pt idx="130">
                  <c:v>130000000</c:v>
                </c:pt>
                <c:pt idx="131">
                  <c:v>131000000</c:v>
                </c:pt>
                <c:pt idx="132">
                  <c:v>132000000</c:v>
                </c:pt>
                <c:pt idx="133">
                  <c:v>133000000</c:v>
                </c:pt>
                <c:pt idx="134">
                  <c:v>134000000</c:v>
                </c:pt>
                <c:pt idx="135">
                  <c:v>135000000</c:v>
                </c:pt>
                <c:pt idx="136">
                  <c:v>136000000</c:v>
                </c:pt>
                <c:pt idx="137">
                  <c:v>137000000</c:v>
                </c:pt>
                <c:pt idx="138">
                  <c:v>138000000</c:v>
                </c:pt>
                <c:pt idx="139">
                  <c:v>139000000</c:v>
                </c:pt>
                <c:pt idx="140">
                  <c:v>140000000</c:v>
                </c:pt>
                <c:pt idx="141">
                  <c:v>141000000</c:v>
                </c:pt>
                <c:pt idx="142">
                  <c:v>142000000</c:v>
                </c:pt>
                <c:pt idx="143">
                  <c:v>143000000</c:v>
                </c:pt>
                <c:pt idx="144">
                  <c:v>144000000</c:v>
                </c:pt>
                <c:pt idx="145">
                  <c:v>145000000</c:v>
                </c:pt>
                <c:pt idx="146">
                  <c:v>146000000</c:v>
                </c:pt>
                <c:pt idx="147">
                  <c:v>147000000</c:v>
                </c:pt>
                <c:pt idx="148">
                  <c:v>148000000</c:v>
                </c:pt>
                <c:pt idx="149">
                  <c:v>149000000</c:v>
                </c:pt>
                <c:pt idx="150">
                  <c:v>150000000</c:v>
                </c:pt>
                <c:pt idx="151">
                  <c:v>151000000</c:v>
                </c:pt>
                <c:pt idx="152">
                  <c:v>152000000</c:v>
                </c:pt>
                <c:pt idx="153">
                  <c:v>153000000</c:v>
                </c:pt>
                <c:pt idx="154">
                  <c:v>154000000</c:v>
                </c:pt>
                <c:pt idx="155">
                  <c:v>155000000</c:v>
                </c:pt>
                <c:pt idx="156">
                  <c:v>156000000</c:v>
                </c:pt>
                <c:pt idx="157">
                  <c:v>157000000</c:v>
                </c:pt>
                <c:pt idx="158">
                  <c:v>158000000</c:v>
                </c:pt>
                <c:pt idx="159">
                  <c:v>159000000</c:v>
                </c:pt>
                <c:pt idx="160">
                  <c:v>160000000</c:v>
                </c:pt>
                <c:pt idx="161">
                  <c:v>161000000</c:v>
                </c:pt>
                <c:pt idx="162">
                  <c:v>162000000</c:v>
                </c:pt>
                <c:pt idx="163">
                  <c:v>163000000</c:v>
                </c:pt>
                <c:pt idx="164">
                  <c:v>164000000</c:v>
                </c:pt>
                <c:pt idx="165">
                  <c:v>165000000</c:v>
                </c:pt>
                <c:pt idx="166">
                  <c:v>166000000</c:v>
                </c:pt>
                <c:pt idx="167">
                  <c:v>167000000</c:v>
                </c:pt>
                <c:pt idx="168">
                  <c:v>168000000</c:v>
                </c:pt>
                <c:pt idx="169">
                  <c:v>169000000</c:v>
                </c:pt>
                <c:pt idx="170">
                  <c:v>170000000</c:v>
                </c:pt>
                <c:pt idx="171">
                  <c:v>171000000</c:v>
                </c:pt>
                <c:pt idx="172">
                  <c:v>172000000</c:v>
                </c:pt>
                <c:pt idx="173">
                  <c:v>173000000</c:v>
                </c:pt>
                <c:pt idx="174">
                  <c:v>174000000</c:v>
                </c:pt>
                <c:pt idx="175">
                  <c:v>175000000</c:v>
                </c:pt>
                <c:pt idx="176">
                  <c:v>176000000</c:v>
                </c:pt>
                <c:pt idx="177">
                  <c:v>177000000</c:v>
                </c:pt>
                <c:pt idx="178">
                  <c:v>178000000</c:v>
                </c:pt>
                <c:pt idx="179">
                  <c:v>179000000</c:v>
                </c:pt>
                <c:pt idx="180">
                  <c:v>180000000</c:v>
                </c:pt>
                <c:pt idx="181">
                  <c:v>181000000</c:v>
                </c:pt>
                <c:pt idx="182">
                  <c:v>182000000</c:v>
                </c:pt>
                <c:pt idx="183">
                  <c:v>183000000</c:v>
                </c:pt>
                <c:pt idx="184">
                  <c:v>184000000</c:v>
                </c:pt>
                <c:pt idx="185">
                  <c:v>185000000</c:v>
                </c:pt>
                <c:pt idx="186">
                  <c:v>186000000</c:v>
                </c:pt>
                <c:pt idx="187">
                  <c:v>187000000</c:v>
                </c:pt>
                <c:pt idx="188">
                  <c:v>188000000</c:v>
                </c:pt>
                <c:pt idx="189">
                  <c:v>189000000</c:v>
                </c:pt>
                <c:pt idx="190">
                  <c:v>190000000</c:v>
                </c:pt>
                <c:pt idx="191">
                  <c:v>191000000</c:v>
                </c:pt>
                <c:pt idx="192">
                  <c:v>192000000</c:v>
                </c:pt>
                <c:pt idx="193">
                  <c:v>193000000</c:v>
                </c:pt>
                <c:pt idx="194">
                  <c:v>194000000</c:v>
                </c:pt>
                <c:pt idx="195">
                  <c:v>195000000</c:v>
                </c:pt>
                <c:pt idx="196">
                  <c:v>196000000</c:v>
                </c:pt>
                <c:pt idx="197">
                  <c:v>197000000</c:v>
                </c:pt>
                <c:pt idx="198">
                  <c:v>198000000</c:v>
                </c:pt>
                <c:pt idx="199">
                  <c:v>199000000</c:v>
                </c:pt>
                <c:pt idx="200">
                  <c:v>200000000</c:v>
                </c:pt>
                <c:pt idx="201">
                  <c:v>201000000</c:v>
                </c:pt>
                <c:pt idx="202">
                  <c:v>202000000</c:v>
                </c:pt>
                <c:pt idx="203">
                  <c:v>203000000</c:v>
                </c:pt>
                <c:pt idx="204">
                  <c:v>204000000</c:v>
                </c:pt>
                <c:pt idx="205">
                  <c:v>205000000</c:v>
                </c:pt>
                <c:pt idx="206">
                  <c:v>206000000</c:v>
                </c:pt>
                <c:pt idx="207">
                  <c:v>207000000</c:v>
                </c:pt>
                <c:pt idx="208">
                  <c:v>208000000</c:v>
                </c:pt>
                <c:pt idx="209">
                  <c:v>209000000</c:v>
                </c:pt>
                <c:pt idx="210">
                  <c:v>210000000</c:v>
                </c:pt>
                <c:pt idx="211">
                  <c:v>211000000</c:v>
                </c:pt>
                <c:pt idx="212">
                  <c:v>212000000</c:v>
                </c:pt>
                <c:pt idx="213">
                  <c:v>213000000</c:v>
                </c:pt>
                <c:pt idx="214">
                  <c:v>214000000</c:v>
                </c:pt>
                <c:pt idx="215">
                  <c:v>215000000</c:v>
                </c:pt>
                <c:pt idx="216">
                  <c:v>216000000</c:v>
                </c:pt>
                <c:pt idx="217">
                  <c:v>217000000</c:v>
                </c:pt>
                <c:pt idx="218">
                  <c:v>218000000</c:v>
                </c:pt>
                <c:pt idx="219">
                  <c:v>219000000</c:v>
                </c:pt>
                <c:pt idx="220">
                  <c:v>220000000</c:v>
                </c:pt>
                <c:pt idx="221">
                  <c:v>221000000</c:v>
                </c:pt>
                <c:pt idx="222">
                  <c:v>222000000</c:v>
                </c:pt>
                <c:pt idx="223">
                  <c:v>223000000</c:v>
                </c:pt>
                <c:pt idx="224">
                  <c:v>224000000</c:v>
                </c:pt>
                <c:pt idx="225">
                  <c:v>225000000</c:v>
                </c:pt>
                <c:pt idx="226">
                  <c:v>226000000</c:v>
                </c:pt>
                <c:pt idx="227">
                  <c:v>227000000</c:v>
                </c:pt>
                <c:pt idx="228">
                  <c:v>228000000</c:v>
                </c:pt>
                <c:pt idx="229">
                  <c:v>229000000</c:v>
                </c:pt>
                <c:pt idx="230">
                  <c:v>230000000</c:v>
                </c:pt>
                <c:pt idx="231">
                  <c:v>231000000</c:v>
                </c:pt>
                <c:pt idx="232">
                  <c:v>232000000</c:v>
                </c:pt>
                <c:pt idx="233">
                  <c:v>233000000</c:v>
                </c:pt>
                <c:pt idx="234">
                  <c:v>234000000</c:v>
                </c:pt>
                <c:pt idx="235">
                  <c:v>235000000</c:v>
                </c:pt>
                <c:pt idx="236">
                  <c:v>236000000</c:v>
                </c:pt>
                <c:pt idx="237">
                  <c:v>237000000</c:v>
                </c:pt>
                <c:pt idx="238">
                  <c:v>238000000</c:v>
                </c:pt>
                <c:pt idx="239">
                  <c:v>239000000</c:v>
                </c:pt>
                <c:pt idx="240">
                  <c:v>240000000</c:v>
                </c:pt>
                <c:pt idx="241">
                  <c:v>241000000</c:v>
                </c:pt>
                <c:pt idx="242">
                  <c:v>242000000</c:v>
                </c:pt>
                <c:pt idx="243">
                  <c:v>243000000</c:v>
                </c:pt>
                <c:pt idx="244">
                  <c:v>244000000</c:v>
                </c:pt>
                <c:pt idx="245">
                  <c:v>245000000</c:v>
                </c:pt>
                <c:pt idx="246">
                  <c:v>246000000</c:v>
                </c:pt>
                <c:pt idx="247">
                  <c:v>247000000</c:v>
                </c:pt>
                <c:pt idx="248">
                  <c:v>248000000</c:v>
                </c:pt>
                <c:pt idx="249">
                  <c:v>249000000</c:v>
                </c:pt>
                <c:pt idx="250">
                  <c:v>250000000</c:v>
                </c:pt>
                <c:pt idx="251">
                  <c:v>251000000</c:v>
                </c:pt>
                <c:pt idx="252">
                  <c:v>252000000</c:v>
                </c:pt>
                <c:pt idx="253">
                  <c:v>253000000</c:v>
                </c:pt>
                <c:pt idx="254">
                  <c:v>254000000</c:v>
                </c:pt>
                <c:pt idx="255">
                  <c:v>255000000</c:v>
                </c:pt>
                <c:pt idx="256">
                  <c:v>256000000</c:v>
                </c:pt>
                <c:pt idx="257">
                  <c:v>257000000</c:v>
                </c:pt>
                <c:pt idx="258">
                  <c:v>258000000</c:v>
                </c:pt>
                <c:pt idx="259">
                  <c:v>259000000</c:v>
                </c:pt>
                <c:pt idx="260">
                  <c:v>260000000</c:v>
                </c:pt>
                <c:pt idx="261">
                  <c:v>261000000</c:v>
                </c:pt>
                <c:pt idx="262">
                  <c:v>262000000</c:v>
                </c:pt>
                <c:pt idx="263">
                  <c:v>263000000</c:v>
                </c:pt>
                <c:pt idx="264">
                  <c:v>264000000</c:v>
                </c:pt>
                <c:pt idx="265">
                  <c:v>265000000</c:v>
                </c:pt>
                <c:pt idx="266">
                  <c:v>266000000</c:v>
                </c:pt>
                <c:pt idx="267">
                  <c:v>267000000</c:v>
                </c:pt>
                <c:pt idx="268">
                  <c:v>268000000</c:v>
                </c:pt>
                <c:pt idx="269">
                  <c:v>269000000</c:v>
                </c:pt>
                <c:pt idx="270">
                  <c:v>270000000</c:v>
                </c:pt>
                <c:pt idx="271">
                  <c:v>271000000</c:v>
                </c:pt>
                <c:pt idx="272">
                  <c:v>272000000</c:v>
                </c:pt>
                <c:pt idx="273">
                  <c:v>273000000</c:v>
                </c:pt>
                <c:pt idx="274">
                  <c:v>274000000</c:v>
                </c:pt>
                <c:pt idx="275">
                  <c:v>275000000</c:v>
                </c:pt>
                <c:pt idx="276">
                  <c:v>276000000</c:v>
                </c:pt>
                <c:pt idx="277">
                  <c:v>277000000</c:v>
                </c:pt>
                <c:pt idx="278">
                  <c:v>278000000</c:v>
                </c:pt>
                <c:pt idx="279">
                  <c:v>279000000</c:v>
                </c:pt>
                <c:pt idx="280">
                  <c:v>280000000</c:v>
                </c:pt>
                <c:pt idx="281">
                  <c:v>281000000</c:v>
                </c:pt>
                <c:pt idx="282">
                  <c:v>282000000</c:v>
                </c:pt>
                <c:pt idx="283">
                  <c:v>283000000</c:v>
                </c:pt>
                <c:pt idx="284">
                  <c:v>284000000</c:v>
                </c:pt>
                <c:pt idx="285">
                  <c:v>285000000</c:v>
                </c:pt>
                <c:pt idx="286">
                  <c:v>286000000</c:v>
                </c:pt>
                <c:pt idx="287">
                  <c:v>287000000</c:v>
                </c:pt>
                <c:pt idx="288">
                  <c:v>288000000</c:v>
                </c:pt>
                <c:pt idx="289">
                  <c:v>289000000</c:v>
                </c:pt>
                <c:pt idx="290">
                  <c:v>290000000</c:v>
                </c:pt>
                <c:pt idx="291">
                  <c:v>291000000</c:v>
                </c:pt>
                <c:pt idx="292">
                  <c:v>292000000</c:v>
                </c:pt>
                <c:pt idx="293">
                  <c:v>293000000</c:v>
                </c:pt>
                <c:pt idx="294">
                  <c:v>294000000</c:v>
                </c:pt>
                <c:pt idx="295">
                  <c:v>295000000</c:v>
                </c:pt>
                <c:pt idx="296">
                  <c:v>296000000</c:v>
                </c:pt>
                <c:pt idx="297">
                  <c:v>297000000</c:v>
                </c:pt>
                <c:pt idx="298">
                  <c:v>298000000</c:v>
                </c:pt>
                <c:pt idx="299">
                  <c:v>299000000</c:v>
                </c:pt>
                <c:pt idx="300">
                  <c:v>300000000</c:v>
                </c:pt>
                <c:pt idx="301">
                  <c:v>301000000</c:v>
                </c:pt>
                <c:pt idx="302">
                  <c:v>302000000</c:v>
                </c:pt>
                <c:pt idx="303">
                  <c:v>303000000</c:v>
                </c:pt>
                <c:pt idx="304">
                  <c:v>304000000</c:v>
                </c:pt>
                <c:pt idx="305">
                  <c:v>305000000</c:v>
                </c:pt>
                <c:pt idx="306">
                  <c:v>306000000</c:v>
                </c:pt>
                <c:pt idx="307">
                  <c:v>307000000</c:v>
                </c:pt>
                <c:pt idx="308">
                  <c:v>308000000</c:v>
                </c:pt>
                <c:pt idx="309">
                  <c:v>309000000</c:v>
                </c:pt>
                <c:pt idx="310">
                  <c:v>310000000</c:v>
                </c:pt>
                <c:pt idx="311">
                  <c:v>311000000</c:v>
                </c:pt>
                <c:pt idx="312">
                  <c:v>312000000</c:v>
                </c:pt>
                <c:pt idx="313">
                  <c:v>313000000</c:v>
                </c:pt>
                <c:pt idx="314">
                  <c:v>314000000</c:v>
                </c:pt>
                <c:pt idx="315">
                  <c:v>315000000</c:v>
                </c:pt>
                <c:pt idx="316">
                  <c:v>316000000</c:v>
                </c:pt>
                <c:pt idx="317">
                  <c:v>317000000</c:v>
                </c:pt>
                <c:pt idx="318">
                  <c:v>318000000</c:v>
                </c:pt>
                <c:pt idx="319">
                  <c:v>319000000</c:v>
                </c:pt>
                <c:pt idx="320">
                  <c:v>320000000</c:v>
                </c:pt>
                <c:pt idx="321">
                  <c:v>321000000</c:v>
                </c:pt>
                <c:pt idx="322">
                  <c:v>322000000</c:v>
                </c:pt>
                <c:pt idx="323">
                  <c:v>323000000</c:v>
                </c:pt>
                <c:pt idx="324">
                  <c:v>324000000</c:v>
                </c:pt>
                <c:pt idx="325">
                  <c:v>325000000</c:v>
                </c:pt>
                <c:pt idx="326">
                  <c:v>326000000</c:v>
                </c:pt>
                <c:pt idx="327">
                  <c:v>327000000</c:v>
                </c:pt>
                <c:pt idx="328">
                  <c:v>328000000</c:v>
                </c:pt>
                <c:pt idx="329">
                  <c:v>329000000</c:v>
                </c:pt>
                <c:pt idx="330">
                  <c:v>330000000</c:v>
                </c:pt>
                <c:pt idx="331">
                  <c:v>331000000</c:v>
                </c:pt>
                <c:pt idx="332">
                  <c:v>332000000</c:v>
                </c:pt>
                <c:pt idx="333">
                  <c:v>333000000</c:v>
                </c:pt>
                <c:pt idx="334">
                  <c:v>334000000</c:v>
                </c:pt>
                <c:pt idx="335">
                  <c:v>335000000</c:v>
                </c:pt>
                <c:pt idx="336">
                  <c:v>336000000</c:v>
                </c:pt>
                <c:pt idx="337">
                  <c:v>337000000</c:v>
                </c:pt>
                <c:pt idx="338">
                  <c:v>338000000</c:v>
                </c:pt>
                <c:pt idx="339">
                  <c:v>339000000</c:v>
                </c:pt>
                <c:pt idx="340">
                  <c:v>340000000</c:v>
                </c:pt>
                <c:pt idx="341">
                  <c:v>341000000</c:v>
                </c:pt>
                <c:pt idx="342">
                  <c:v>342000000</c:v>
                </c:pt>
                <c:pt idx="343">
                  <c:v>343000000</c:v>
                </c:pt>
                <c:pt idx="344">
                  <c:v>344000000</c:v>
                </c:pt>
                <c:pt idx="345">
                  <c:v>345000000</c:v>
                </c:pt>
                <c:pt idx="346">
                  <c:v>346000000</c:v>
                </c:pt>
                <c:pt idx="347">
                  <c:v>347000000</c:v>
                </c:pt>
                <c:pt idx="348">
                  <c:v>348000000</c:v>
                </c:pt>
                <c:pt idx="349">
                  <c:v>349000000</c:v>
                </c:pt>
                <c:pt idx="350">
                  <c:v>350000000</c:v>
                </c:pt>
                <c:pt idx="351">
                  <c:v>351000000</c:v>
                </c:pt>
                <c:pt idx="352">
                  <c:v>352000000</c:v>
                </c:pt>
                <c:pt idx="353">
                  <c:v>353000000</c:v>
                </c:pt>
                <c:pt idx="354">
                  <c:v>354000000</c:v>
                </c:pt>
                <c:pt idx="355">
                  <c:v>355000000</c:v>
                </c:pt>
                <c:pt idx="356">
                  <c:v>356000000</c:v>
                </c:pt>
                <c:pt idx="357">
                  <c:v>357000000</c:v>
                </c:pt>
                <c:pt idx="358">
                  <c:v>358000000</c:v>
                </c:pt>
                <c:pt idx="359">
                  <c:v>359000000</c:v>
                </c:pt>
                <c:pt idx="360">
                  <c:v>360000000</c:v>
                </c:pt>
              </c:numCache>
            </c:numRef>
          </c:xVal>
          <c:yVal>
            <c:numRef>
              <c:f>normal!$F$2:$F$425</c:f>
              <c:numCache>
                <c:formatCode>0.00E+00</c:formatCode>
                <c:ptCount val="424"/>
                <c:pt idx="0">
                  <c:v>0</c:v>
                </c:pt>
                <c:pt idx="1">
                  <c:v>729570448.05654895</c:v>
                </c:pt>
                <c:pt idx="2">
                  <c:v>778774077.19739807</c:v>
                </c:pt>
                <c:pt idx="3">
                  <c:v>806589561.51963985</c:v>
                </c:pt>
                <c:pt idx="4">
                  <c:v>826918691.59299576</c:v>
                </c:pt>
                <c:pt idx="5">
                  <c:v>843359994.60387599</c:v>
                </c:pt>
                <c:pt idx="6">
                  <c:v>857393034.216115</c:v>
                </c:pt>
                <c:pt idx="7">
                  <c:v>869775121.67105269</c:v>
                </c:pt>
                <c:pt idx="8">
                  <c:v>880948037.67071116</c:v>
                </c:pt>
                <c:pt idx="9">
                  <c:v>891193085.49305034</c:v>
                </c:pt>
                <c:pt idx="10">
                  <c:v>900701025.67230248</c:v>
                </c:pt>
                <c:pt idx="11">
                  <c:v>909607515.64196682</c:v>
                </c:pt>
                <c:pt idx="12">
                  <c:v>918012681.31960237</c:v>
                </c:pt>
                <c:pt idx="13">
                  <c:v>925992666.36828446</c:v>
                </c:pt>
                <c:pt idx="14">
                  <c:v>933606816.84060371</c:v>
                </c:pt>
                <c:pt idx="15">
                  <c:v>940902347.36701274</c:v>
                </c:pt>
                <c:pt idx="16">
                  <c:v>947917482.29288769</c:v>
                </c:pt>
                <c:pt idx="17">
                  <c:v>954683635.27915955</c:v>
                </c:pt>
                <c:pt idx="18">
                  <c:v>961226961.51385176</c:v>
                </c:pt>
                <c:pt idx="19">
                  <c:v>967569488.3059634</c:v>
                </c:pt>
                <c:pt idx="20">
                  <c:v>973729954.98045182</c:v>
                </c:pt>
                <c:pt idx="21">
                  <c:v>979724447.77427328</c:v>
                </c:pt>
                <c:pt idx="22">
                  <c:v>985566887.25665307</c:v>
                </c:pt>
                <c:pt idx="23">
                  <c:v>991269407.75231099</c:v>
                </c:pt>
                <c:pt idx="24">
                  <c:v>996842656.4061023</c:v>
                </c:pt>
                <c:pt idx="25">
                  <c:v>1002296031.5871892</c:v>
                </c:pt>
                <c:pt idx="26">
                  <c:v>1007637874.9003551</c:v>
                </c:pt>
                <c:pt idx="27">
                  <c:v>1012875627.2914952</c:v>
                </c:pt>
                <c:pt idx="28">
                  <c:v>1018015957.05946</c:v>
                </c:pt>
                <c:pt idx="29">
                  <c:v>1023064865.6657163</c:v>
                </c:pt>
                <c:pt idx="30">
                  <c:v>1028027775.8352569</c:v>
                </c:pt>
                <c:pt idx="31">
                  <c:v>1032909605.411823</c:v>
                </c:pt>
                <c:pt idx="32">
                  <c:v>1037714829.6622713</c:v>
                </c:pt>
                <c:pt idx="33">
                  <c:v>1042447534.145991</c:v>
                </c:pt>
                <c:pt idx="34">
                  <c:v>1047111459.8246294</c:v>
                </c:pt>
                <c:pt idx="35">
                  <c:v>1051710041.7488728</c:v>
                </c:pt>
                <c:pt idx="36">
                  <c:v>1056246442.3967167</c:v>
                </c:pt>
                <c:pt idx="37">
                  <c:v>1060723580.5327379</c:v>
                </c:pt>
                <c:pt idx="38">
                  <c:v>1065144156.296567</c:v>
                </c:pt>
                <c:pt idx="39">
                  <c:v>1069510673.1008708</c:v>
                </c:pt>
                <c:pt idx="40">
                  <c:v>1073825456.8170679</c:v>
                </c:pt>
                <c:pt idx="41">
                  <c:v>1078090672.6449962</c:v>
                </c:pt>
                <c:pt idx="42">
                  <c:v>1082308339.9964859</c:v>
                </c:pt>
                <c:pt idx="43">
                  <c:v>1086480345.6689215</c:v>
                </c:pt>
                <c:pt idx="44">
                  <c:v>1090608455.5408666</c:v>
                </c:pt>
                <c:pt idx="45">
                  <c:v>1094694324.9856706</c:v>
                </c:pt>
                <c:pt idx="46">
                  <c:v>1098739508.1691289</c:v>
                </c:pt>
                <c:pt idx="47">
                  <c:v>1102745466.3725262</c:v>
                </c:pt>
                <c:pt idx="48">
                  <c:v>1106713575.4617684</c:v>
                </c:pt>
                <c:pt idx="49">
                  <c:v>1110645132.60606</c:v>
                </c:pt>
                <c:pt idx="50">
                  <c:v>1114541362.3350918</c:v>
                </c:pt>
                <c:pt idx="51">
                  <c:v>1118403422.0114701</c:v>
                </c:pt>
                <c:pt idx="52">
                  <c:v>1122232406.7847655</c:v>
                </c:pt>
                <c:pt idx="53">
                  <c:v>1126029354.0847433</c:v>
                </c:pt>
                <c:pt idx="54">
                  <c:v>1129795247.7038119</c:v>
                </c:pt>
                <c:pt idx="55">
                  <c:v>1133531021.5122671</c:v>
                </c:pt>
                <c:pt idx="56">
                  <c:v>1137237562.8443418</c:v>
                </c:pt>
                <c:pt idx="57">
                  <c:v>1140915715.5882332</c:v>
                </c:pt>
                <c:pt idx="58">
                  <c:v>1144566283.0090716</c:v>
                </c:pt>
                <c:pt idx="59">
                  <c:v>1148190030.33006</c:v>
                </c:pt>
                <c:pt idx="60">
                  <c:v>1151787687.093714</c:v>
                </c:pt>
                <c:pt idx="61">
                  <c:v>1155359949.3221145</c:v>
                </c:pt>
                <c:pt idx="62">
                  <c:v>1158907481.4923108</c:v>
                </c:pt>
                <c:pt idx="63">
                  <c:v>1162430918.3403621</c:v>
                </c:pt>
                <c:pt idx="64">
                  <c:v>1165930866.5048771</c:v>
                </c:pt>
                <c:pt idx="65">
                  <c:v>1169407906.0181911</c:v>
                </c:pt>
                <c:pt idx="66">
                  <c:v>1172862591.6503282</c:v>
                </c:pt>
                <c:pt idx="67">
                  <c:v>1176295454.1074069</c:v>
                </c:pt>
                <c:pt idx="68">
                  <c:v>1179707001.0818238</c:v>
                </c:pt>
                <c:pt idx="69">
                  <c:v>1183097718.1458907</c:v>
                </c:pt>
                <c:pt idx="70">
                  <c:v>1186468069.4727843</c:v>
                </c:pt>
                <c:pt idx="71">
                  <c:v>1189818498.3574388</c:v>
                </c:pt>
                <c:pt idx="72">
                  <c:v>1193149427.4931946</c:v>
                </c:pt>
                <c:pt idx="73">
                  <c:v>1196461258.9339457</c:v>
                </c:pt>
                <c:pt idx="74">
                  <c:v>1199754373.6296921</c:v>
                </c:pt>
                <c:pt idx="75">
                  <c:v>1203029130.353785</c:v>
                </c:pt>
                <c:pt idx="76">
                  <c:v>1206285863.7198129</c:v>
                </c:pt>
                <c:pt idx="77">
                  <c:v>1209524880.7688956</c:v>
                </c:pt>
                <c:pt idx="78">
                  <c:v>1212746455.196454</c:v>
                </c:pt>
                <c:pt idx="79">
                  <c:v>1215950817.4606218</c:v>
                </c:pt>
                <c:pt idx="80">
                  <c:v>1219138137.2342749</c:v>
                </c:pt>
                <c:pt idx="81">
                  <c:v>1222308490.4883728</c:v>
                </c:pt>
                <c:pt idx="82">
                  <c:v>1225461792.5860376</c:v>
                </c:pt>
                <c:pt idx="83">
                  <c:v>1228597645.8769352</c:v>
                </c:pt>
                <c:pt idx="84">
                  <c:v>1231714929.1282177</c:v>
                </c:pt>
                <c:pt idx="85">
                  <c:v>1234810348.4723735</c:v>
                </c:pt>
                <c:pt idx="86">
                  <c:v>1237869717.3319154</c:v>
                </c:pt>
                <c:pt idx="87">
                  <c:v>1241621529.1879137</c:v>
                </c:pt>
                <c:pt idx="88">
                  <c:v>1244964799.0550246</c:v>
                </c:pt>
                <c:pt idx="89">
                  <c:v>1248185288.6692748</c:v>
                </c:pt>
                <c:pt idx="90">
                  <c:v>1251341978.2519069</c:v>
                </c:pt>
                <c:pt idx="91">
                  <c:v>1254456711.5137076</c:v>
                </c:pt>
                <c:pt idx="92">
                  <c:v>1257539979.278949</c:v>
                </c:pt>
                <c:pt idx="93">
                  <c:v>1260597656.2643521</c:v>
                </c:pt>
                <c:pt idx="94">
                  <c:v>1263633391.6987703</c:v>
                </c:pt>
                <c:pt idx="95">
                  <c:v>1266649631.1067698</c:v>
                </c:pt>
                <c:pt idx="96">
                  <c:v>1269648112.2075179</c:v>
                </c:pt>
                <c:pt idx="97">
                  <c:v>1272630129.0525999</c:v>
                </c:pt>
                <c:pt idx="98">
                  <c:v>1275596683.1269734</c:v>
                </c:pt>
                <c:pt idx="99">
                  <c:v>1278548574.8267825</c:v>
                </c:pt>
                <c:pt idx="100">
                  <c:v>1281486461.4592378</c:v>
                </c:pt>
                <c:pt idx="101">
                  <c:v>1284410895.4583244</c:v>
                </c:pt>
                <c:pt idx="102">
                  <c:v>1287322350.3988411</c:v>
                </c:pt>
                <c:pt idx="103">
                  <c:v>1290221239.2076755</c:v>
                </c:pt>
                <c:pt idx="104">
                  <c:v>1293107927.2275233</c:v>
                </c:pt>
                <c:pt idx="105">
                  <c:v>1295982741.7914903</c:v>
                </c:pt>
                <c:pt idx="106">
                  <c:v>1298845979.3757515</c:v>
                </c:pt>
                <c:pt idx="107">
                  <c:v>1301697911.035212</c:v>
                </c:pt>
                <c:pt idx="108">
                  <c:v>1304538786.5987842</c:v>
                </c:pt>
                <c:pt idx="109">
                  <c:v>1307368837.9532804</c:v>
                </c:pt>
                <c:pt idx="110">
                  <c:v>1310188281.6473126</c:v>
                </c:pt>
                <c:pt idx="111">
                  <c:v>1312997320.9807005</c:v>
                </c:pt>
                <c:pt idx="112">
                  <c:v>1315796147.6996086</c:v>
                </c:pt>
                <c:pt idx="113">
                  <c:v>1318584943.3859613</c:v>
                </c:pt>
                <c:pt idx="114">
                  <c:v>1321363880.6072133</c:v>
                </c:pt>
                <c:pt idx="115">
                  <c:v>1324133123.8763618</c:v>
                </c:pt>
                <c:pt idx="116">
                  <c:v>1326892830.4602897</c:v>
                </c:pt>
                <c:pt idx="117">
                  <c:v>1329643151.0658097</c:v>
                </c:pt>
                <c:pt idx="118">
                  <c:v>1332384230.4262795</c:v>
                </c:pt>
                <c:pt idx="119">
                  <c:v>1335116207.8067482</c:v>
                </c:pt>
                <c:pt idx="120">
                  <c:v>1337839217.4418621</c:v>
                </c:pt>
                <c:pt idx="121">
                  <c:v>1340553388.9178879</c:v>
                </c:pt>
                <c:pt idx="122">
                  <c:v>1343258847.5079827</c:v>
                </c:pt>
                <c:pt idx="123">
                  <c:v>1345955714.4681072</c:v>
                </c:pt>
                <c:pt idx="124">
                  <c:v>1348644107.2996089</c:v>
                </c:pt>
                <c:pt idx="125">
                  <c:v>1351324139.983418</c:v>
                </c:pt>
                <c:pt idx="126">
                  <c:v>1353995923.189935</c:v>
                </c:pt>
                <c:pt idx="127">
                  <c:v>1356659564.467993</c:v>
                </c:pt>
                <c:pt idx="128">
                  <c:v>1359315168.4157183</c:v>
                </c:pt>
                <c:pt idx="129">
                  <c:v>1361962836.8356559</c:v>
                </c:pt>
                <c:pt idx="130">
                  <c:v>1364602668.8761537</c:v>
                </c:pt>
                <c:pt idx="131">
                  <c:v>1367234761.1606948</c:v>
                </c:pt>
                <c:pt idx="132">
                  <c:v>1369859207.9066145</c:v>
                </c:pt>
                <c:pt idx="133">
                  <c:v>1372476101.0344279</c:v>
                </c:pt>
                <c:pt idx="134">
                  <c:v>1375085530.2688205</c:v>
                </c:pt>
                <c:pt idx="135">
                  <c:v>1377687583.2322106</c:v>
                </c:pt>
                <c:pt idx="136">
                  <c:v>1380282345.5316632</c:v>
                </c:pt>
                <c:pt idx="137">
                  <c:v>1382869900.8398411</c:v>
                </c:pt>
                <c:pt idx="138">
                  <c:v>1385450330.9705815</c:v>
                </c:pt>
                <c:pt idx="139">
                  <c:v>1388023715.9496191</c:v>
                </c:pt>
                <c:pt idx="140">
                  <c:v>1390590134.0809102</c:v>
                </c:pt>
                <c:pt idx="141">
                  <c:v>1393149662.0089564</c:v>
                </c:pt>
                <c:pt idx="142">
                  <c:v>1395702374.7774837</c:v>
                </c:pt>
                <c:pt idx="143">
                  <c:v>1398248345.8847885</c:v>
                </c:pt>
                <c:pt idx="144">
                  <c:v>1400787647.33603</c:v>
                </c:pt>
                <c:pt idx="145">
                  <c:v>1403320349.6927152</c:v>
                </c:pt>
                <c:pt idx="146">
                  <c:v>1405846522.1195998</c:v>
                </c:pt>
                <c:pt idx="147">
                  <c:v>1408366232.4292042</c:v>
                </c:pt>
                <c:pt idx="148">
                  <c:v>1410879547.1241193</c:v>
                </c:pt>
                <c:pt idx="149">
                  <c:v>1413386531.4372683</c:v>
                </c:pt>
                <c:pt idx="150">
                  <c:v>1415887249.370265</c:v>
                </c:pt>
                <c:pt idx="151">
                  <c:v>1418381763.7300026</c:v>
                </c:pt>
                <c:pt idx="152">
                  <c:v>1420870136.1635926</c:v>
                </c:pt>
                <c:pt idx="153">
                  <c:v>1423352427.1917598</c:v>
                </c:pt>
                <c:pt idx="154">
                  <c:v>1425828696.2407961</c:v>
                </c:pt>
                <c:pt idx="155">
                  <c:v>1428299001.6731598</c:v>
                </c:pt>
                <c:pt idx="156">
                  <c:v>1430763400.8168066</c:v>
                </c:pt>
                <c:pt idx="157">
                  <c:v>1433221949.9933245</c:v>
                </c:pt>
                <c:pt idx="158">
                  <c:v>1435674704.5449474</c:v>
                </c:pt>
                <c:pt idx="159">
                  <c:v>1438121718.8605058</c:v>
                </c:pt>
                <c:pt idx="160">
                  <c:v>1440563046.4003797</c:v>
                </c:pt>
                <c:pt idx="161">
                  <c:v>1442998739.7205033</c:v>
                </c:pt>
                <c:pt idx="162">
                  <c:v>1445428850.4954774</c:v>
                </c:pt>
                <c:pt idx="163">
                  <c:v>1447853429.5408318</c:v>
                </c:pt>
                <c:pt idx="164">
                  <c:v>1450272526.8344848</c:v>
                </c:pt>
                <c:pt idx="165">
                  <c:v>1452686191.5374391</c:v>
                </c:pt>
                <c:pt idx="166">
                  <c:v>1455094472.0137525</c:v>
                </c:pt>
                <c:pt idx="167">
                  <c:v>1457497415.8498175</c:v>
                </c:pt>
                <c:pt idx="168">
                  <c:v>1459895069.8729856</c:v>
                </c:pt>
                <c:pt idx="169">
                  <c:v>1462287480.169564</c:v>
                </c:pt>
                <c:pt idx="170">
                  <c:v>1464674692.1022158</c:v>
                </c:pt>
                <c:pt idx="171">
                  <c:v>1467056750.3267903</c:v>
                </c:pt>
                <c:pt idx="172">
                  <c:v>1469433698.8086095</c:v>
                </c:pt>
                <c:pt idx="173">
                  <c:v>1471805580.8382318</c:v>
                </c:pt>
                <c:pt idx="174">
                  <c:v>1474172439.0467215</c:v>
                </c:pt>
                <c:pt idx="175">
                  <c:v>1476534315.4204385</c:v>
                </c:pt>
                <c:pt idx="176">
                  <c:v>1478891251.3153734</c:v>
                </c:pt>
                <c:pt idx="177">
                  <c:v>1481243287.4710445</c:v>
                </c:pt>
                <c:pt idx="178">
                  <c:v>1483590464.0239747</c:v>
                </c:pt>
                <c:pt idx="179">
                  <c:v>1485932820.5207667</c:v>
                </c:pt>
                <c:pt idx="180">
                  <c:v>1488270395.9307911</c:v>
                </c:pt>
                <c:pt idx="181">
                  <c:v>1490603228.6585031</c:v>
                </c:pt>
                <c:pt idx="182">
                  <c:v>1492931356.5554013</c:v>
                </c:pt>
                <c:pt idx="183">
                  <c:v>1495254816.9316456</c:v>
                </c:pt>
                <c:pt idx="184">
                  <c:v>1497573646.5673423</c:v>
                </c:pt>
                <c:pt idx="185">
                  <c:v>1499887881.7235119</c:v>
                </c:pt>
                <c:pt idx="186">
                  <c:v>1502197558.1527524</c:v>
                </c:pt>
                <c:pt idx="187">
                  <c:v>1504502711.1096046</c:v>
                </c:pt>
                <c:pt idx="188">
                  <c:v>1506803375.360636</c:v>
                </c:pt>
                <c:pt idx="189">
                  <c:v>1509099585.1942492</c:v>
                </c:pt>
                <c:pt idx="190">
                  <c:v>1511391374.4302254</c:v>
                </c:pt>
                <c:pt idx="191">
                  <c:v>1513678776.429014</c:v>
                </c:pt>
                <c:pt idx="192">
                  <c:v>1515961824.1007748</c:v>
                </c:pt>
                <c:pt idx="193">
                  <c:v>1518240549.9141831</c:v>
                </c:pt>
                <c:pt idx="194">
                  <c:v>1520514985.9050047</c:v>
                </c:pt>
                <c:pt idx="195">
                  <c:v>1522785163.6844482</c:v>
                </c:pt>
                <c:pt idx="196">
                  <c:v>1525051114.4473042</c:v>
                </c:pt>
                <c:pt idx="197">
                  <c:v>1527312868.9798758</c:v>
                </c:pt>
                <c:pt idx="198">
                  <c:v>1529570457.6677077</c:v>
                </c:pt>
                <c:pt idx="199">
                  <c:v>1531823910.5031235</c:v>
                </c:pt>
                <c:pt idx="200">
                  <c:v>1534073257.092572</c:v>
                </c:pt>
                <c:pt idx="201">
                  <c:v>1536318526.663794</c:v>
                </c:pt>
                <c:pt idx="202">
                  <c:v>1538559748.0728111</c:v>
                </c:pt>
                <c:pt idx="203">
                  <c:v>1540796949.810745</c:v>
                </c:pt>
                <c:pt idx="204">
                  <c:v>1543030160.0104702</c:v>
                </c:pt>
                <c:pt idx="205">
                  <c:v>1545259406.4531076</c:v>
                </c:pt>
                <c:pt idx="206">
                  <c:v>1547484716.574362</c:v>
                </c:pt>
                <c:pt idx="207">
                  <c:v>1549706117.4707088</c:v>
                </c:pt>
                <c:pt idx="208">
                  <c:v>1551923635.9054348</c:v>
                </c:pt>
                <c:pt idx="209">
                  <c:v>1554137298.3145378</c:v>
                </c:pt>
                <c:pt idx="210">
                  <c:v>1556347130.8124869</c:v>
                </c:pt>
                <c:pt idx="211">
                  <c:v>1558553159.1978512</c:v>
                </c:pt>
                <c:pt idx="212">
                  <c:v>1560755408.9587977</c:v>
                </c:pt>
                <c:pt idx="213">
                  <c:v>1562953905.2784641</c:v>
                </c:pt>
                <c:pt idx="214">
                  <c:v>1565148673.0402083</c:v>
                </c:pt>
                <c:pt idx="215">
                  <c:v>1567339736.8327408</c:v>
                </c:pt>
                <c:pt idx="216">
                  <c:v>1569527120.9551399</c:v>
                </c:pt>
                <c:pt idx="217">
                  <c:v>1571710849.4217558</c:v>
                </c:pt>
                <c:pt idx="218">
                  <c:v>1573890945.9670064</c:v>
                </c:pt>
                <c:pt idx="219">
                  <c:v>1576067434.0500655</c:v>
                </c:pt>
                <c:pt idx="220">
                  <c:v>1578240336.8594496</c:v>
                </c:pt>
                <c:pt idx="221">
                  <c:v>1580409677.3175037</c:v>
                </c:pt>
                <c:pt idx="222">
                  <c:v>1582575478.0847898</c:v>
                </c:pt>
                <c:pt idx="223">
                  <c:v>1584737761.5643809</c:v>
                </c:pt>
                <c:pt idx="224">
                  <c:v>1586896549.9060626</c:v>
                </c:pt>
                <c:pt idx="225">
                  <c:v>1589051865.0104449</c:v>
                </c:pt>
                <c:pt idx="226">
                  <c:v>1591203728.5329866</c:v>
                </c:pt>
                <c:pt idx="227">
                  <c:v>1593352161.8879356</c:v>
                </c:pt>
                <c:pt idx="228">
                  <c:v>1595497186.2521851</c:v>
                </c:pt>
                <c:pt idx="229">
                  <c:v>1597638822.5690494</c:v>
                </c:pt>
                <c:pt idx="230">
                  <c:v>1599777091.5519619</c:v>
                </c:pt>
                <c:pt idx="231">
                  <c:v>1601912013.688097</c:v>
                </c:pt>
                <c:pt idx="232">
                  <c:v>1604043609.2419155</c:v>
                </c:pt>
                <c:pt idx="233">
                  <c:v>1606171898.2586393</c:v>
                </c:pt>
                <c:pt idx="234">
                  <c:v>1608296900.5676551</c:v>
                </c:pt>
                <c:pt idx="235">
                  <c:v>1610418635.7858474</c:v>
                </c:pt>
                <c:pt idx="236">
                  <c:v>1612537123.3208673</c:v>
                </c:pt>
                <c:pt idx="237">
                  <c:v>1614652382.3743329</c:v>
                </c:pt>
                <c:pt idx="238">
                  <c:v>1616764431.9449673</c:v>
                </c:pt>
                <c:pt idx="239">
                  <c:v>1618873290.8316741</c:v>
                </c:pt>
                <c:pt idx="240">
                  <c:v>1620978977.6365516</c:v>
                </c:pt>
                <c:pt idx="241">
                  <c:v>1623081510.7678487</c:v>
                </c:pt>
                <c:pt idx="242">
                  <c:v>1625180908.4428616</c:v>
                </c:pt>
                <c:pt idx="243">
                  <c:v>1627277188.6907749</c:v>
                </c:pt>
                <c:pt idx="244">
                  <c:v>1629370369.3554482</c:v>
                </c:pt>
                <c:pt idx="245">
                  <c:v>1631460468.0981472</c:v>
                </c:pt>
                <c:pt idx="246">
                  <c:v>1633547502.4002237</c:v>
                </c:pt>
                <c:pt idx="247">
                  <c:v>1635631489.5657446</c:v>
                </c:pt>
                <c:pt idx="248">
                  <c:v>1637712446.7240694</c:v>
                </c:pt>
                <c:pt idx="249">
                  <c:v>1639790390.8323803</c:v>
                </c:pt>
                <c:pt idx="250">
                  <c:v>1641865338.678164</c:v>
                </c:pt>
                <c:pt idx="251">
                  <c:v>1643937306.8816469</c:v>
                </c:pt>
                <c:pt idx="252">
                  <c:v>1646006311.8981848</c:v>
                </c:pt>
                <c:pt idx="253">
                  <c:v>1648072370.0206087</c:v>
                </c:pt>
                <c:pt idx="254">
                  <c:v>1650135497.381526</c:v>
                </c:pt>
                <c:pt idx="255">
                  <c:v>1652195709.9555807</c:v>
                </c:pt>
                <c:pt idx="256">
                  <c:v>1654253023.561671</c:v>
                </c:pt>
                <c:pt idx="257">
                  <c:v>1656307453.8651268</c:v>
                </c:pt>
                <c:pt idx="258">
                  <c:v>1658359016.379848</c:v>
                </c:pt>
                <c:pt idx="259">
                  <c:v>1660407726.4704027</c:v>
                </c:pt>
                <c:pt idx="260">
                  <c:v>1662453599.3540897</c:v>
                </c:pt>
                <c:pt idx="261">
                  <c:v>1664496650.102962</c:v>
                </c:pt>
                <c:pt idx="262">
                  <c:v>1666536893.6458149</c:v>
                </c:pt>
                <c:pt idx="263">
                  <c:v>1668574344.7701395</c:v>
                </c:pt>
                <c:pt idx="264">
                  <c:v>1670609018.1240396</c:v>
                </c:pt>
                <c:pt idx="265">
                  <c:v>1672640928.2181172</c:v>
                </c:pt>
                <c:pt idx="266">
                  <c:v>1674670089.4273224</c:v>
                </c:pt>
                <c:pt idx="267">
                  <c:v>1676696515.9927726</c:v>
                </c:pt>
                <c:pt idx="268">
                  <c:v>1678720222.02354</c:v>
                </c:pt>
                <c:pt idx="269">
                  <c:v>1680741221.4984071</c:v>
                </c:pt>
                <c:pt idx="270">
                  <c:v>1682759528.267592</c:v>
                </c:pt>
                <c:pt idx="271">
                  <c:v>1684775156.0544446</c:v>
                </c:pt>
                <c:pt idx="272">
                  <c:v>1686788118.4571137</c:v>
                </c:pt>
                <c:pt idx="273">
                  <c:v>1688798428.9501853</c:v>
                </c:pt>
                <c:pt idx="274">
                  <c:v>1690806100.8862925</c:v>
                </c:pt>
                <c:pt idx="275">
                  <c:v>1692811147.497699</c:v>
                </c:pt>
                <c:pt idx="276">
                  <c:v>1694813581.8978562</c:v>
                </c:pt>
                <c:pt idx="277">
                  <c:v>1696813417.0829327</c:v>
                </c:pt>
                <c:pt idx="278">
                  <c:v>1698810665.9333191</c:v>
                </c:pt>
                <c:pt idx="279">
                  <c:v>1700805341.2151082</c:v>
                </c:pt>
                <c:pt idx="280">
                  <c:v>1702797455.5815494</c:v>
                </c:pt>
                <c:pt idx="281">
                  <c:v>1704787021.5744801</c:v>
                </c:pt>
                <c:pt idx="282">
                  <c:v>1706774051.6257327</c:v>
                </c:pt>
                <c:pt idx="283">
                  <c:v>1708758558.0585194</c:v>
                </c:pt>
                <c:pt idx="284">
                  <c:v>1710740553.0887933</c:v>
                </c:pt>
                <c:pt idx="285">
                  <c:v>1712720048.8265882</c:v>
                </c:pt>
                <c:pt idx="286">
                  <c:v>1714697057.2773361</c:v>
                </c:pt>
                <c:pt idx="287">
                  <c:v>1716671590.3431642</c:v>
                </c:pt>
                <c:pt idx="288">
                  <c:v>1718643659.8241694</c:v>
                </c:pt>
                <c:pt idx="289">
                  <c:v>1720613277.4196744</c:v>
                </c:pt>
                <c:pt idx="290">
                  <c:v>1722580454.7294624</c:v>
                </c:pt>
                <c:pt idx="291">
                  <c:v>1724545203.254992</c:v>
                </c:pt>
                <c:pt idx="292">
                  <c:v>1726507534.4005938</c:v>
                </c:pt>
                <c:pt idx="293">
                  <c:v>1728467459.4746475</c:v>
                </c:pt>
                <c:pt idx="294">
                  <c:v>1730424989.6907406</c:v>
                </c:pt>
                <c:pt idx="295">
                  <c:v>1732380136.1688085</c:v>
                </c:pt>
                <c:pt idx="296">
                  <c:v>1734332909.9362571</c:v>
                </c:pt>
                <c:pt idx="297">
                  <c:v>1736283321.9290688</c:v>
                </c:pt>
                <c:pt idx="298">
                  <c:v>1738231382.9928892</c:v>
                </c:pt>
                <c:pt idx="299">
                  <c:v>1740177103.8840992</c:v>
                </c:pt>
                <c:pt idx="300">
                  <c:v>1742120495.2708697</c:v>
                </c:pt>
                <c:pt idx="301">
                  <c:v>1744061567.7341995</c:v>
                </c:pt>
                <c:pt idx="302">
                  <c:v>1746000331.7689381</c:v>
                </c:pt>
                <c:pt idx="303">
                  <c:v>1747936797.7847929</c:v>
                </c:pt>
                <c:pt idx="304">
                  <c:v>1749870976.107321</c:v>
                </c:pt>
                <c:pt idx="305">
                  <c:v>1751802876.9789052</c:v>
                </c:pt>
                <c:pt idx="306">
                  <c:v>1753732510.5597169</c:v>
                </c:pt>
                <c:pt idx="307">
                  <c:v>1755659886.9286633</c:v>
                </c:pt>
                <c:pt idx="308">
                  <c:v>1757585016.0843201</c:v>
                </c:pt>
                <c:pt idx="309">
                  <c:v>1759507907.9458518</c:v>
                </c:pt>
                <c:pt idx="310">
                  <c:v>1761428572.3539171</c:v>
                </c:pt>
                <c:pt idx="311">
                  <c:v>1763347019.0715611</c:v>
                </c:pt>
                <c:pt idx="312">
                  <c:v>1765263257.7850945</c:v>
                </c:pt>
                <c:pt idx="313">
                  <c:v>1767177298.10496</c:v>
                </c:pt>
                <c:pt idx="314">
                  <c:v>1769089149.5665851</c:v>
                </c:pt>
                <c:pt idx="315">
                  <c:v>1770998821.6312242</c:v>
                </c:pt>
                <c:pt idx="316">
                  <c:v>1772906323.6867864</c:v>
                </c:pt>
                <c:pt idx="317">
                  <c:v>1774811665.0486529</c:v>
                </c:pt>
                <c:pt idx="318">
                  <c:v>1776714854.9604814</c:v>
                </c:pt>
                <c:pt idx="319">
                  <c:v>1778615902.5949998</c:v>
                </c:pt>
                <c:pt idx="320">
                  <c:v>1780514817.0547876</c:v>
                </c:pt>
                <c:pt idx="321">
                  <c:v>1782411607.3730476</c:v>
                </c:pt>
                <c:pt idx="322">
                  <c:v>1784306282.5143642</c:v>
                </c:pt>
                <c:pt idx="323">
                  <c:v>1786198851.3754535</c:v>
                </c:pt>
                <c:pt idx="324">
                  <c:v>1788089322.7859008</c:v>
                </c:pt>
                <c:pt idx="325">
                  <c:v>1789977705.508889</c:v>
                </c:pt>
                <c:pt idx="326">
                  <c:v>1791864008.2419159</c:v>
                </c:pt>
                <c:pt idx="327">
                  <c:v>1793748239.6175017</c:v>
                </c:pt>
                <c:pt idx="328">
                  <c:v>1795630408.2038865</c:v>
                </c:pt>
                <c:pt idx="329">
                  <c:v>1797510522.5057185</c:v>
                </c:pt>
                <c:pt idx="330">
                  <c:v>1799388590.9647319</c:v>
                </c:pt>
                <c:pt idx="331">
                  <c:v>1801264621.9604163</c:v>
                </c:pt>
                <c:pt idx="332">
                  <c:v>1803138623.8106756</c:v>
                </c:pt>
                <c:pt idx="333">
                  <c:v>1805010604.7724795</c:v>
                </c:pt>
                <c:pt idx="334">
                  <c:v>1806880573.0425043</c:v>
                </c:pt>
                <c:pt idx="335">
                  <c:v>1808748536.7577665</c:v>
                </c:pt>
                <c:pt idx="336">
                  <c:v>1810614503.9962461</c:v>
                </c:pt>
                <c:pt idx="337">
                  <c:v>1812478482.7775035</c:v>
                </c:pt>
                <c:pt idx="338">
                  <c:v>1814340481.0632858</c:v>
                </c:pt>
                <c:pt idx="339">
                  <c:v>1816200506.758127</c:v>
                </c:pt>
                <c:pt idx="340">
                  <c:v>1818058567.709938</c:v>
                </c:pt>
                <c:pt idx="341">
                  <c:v>1819914671.7105906</c:v>
                </c:pt>
                <c:pt idx="342">
                  <c:v>1821768826.4964926</c:v>
                </c:pt>
                <c:pt idx="343">
                  <c:v>1823621039.7491555</c:v>
                </c:pt>
                <c:pt idx="344">
                  <c:v>1825471319.0957546</c:v>
                </c:pt>
                <c:pt idx="345">
                  <c:v>1827319672.1096818</c:v>
                </c:pt>
                <c:pt idx="346">
                  <c:v>1829166106.3110907</c:v>
                </c:pt>
                <c:pt idx="347">
                  <c:v>1831010629.1674354</c:v>
                </c:pt>
                <c:pt idx="348">
                  <c:v>1832853248.0940011</c:v>
                </c:pt>
                <c:pt idx="349">
                  <c:v>1834693970.4544282</c:v>
                </c:pt>
                <c:pt idx="350">
                  <c:v>1836532803.5612302</c:v>
                </c:pt>
                <c:pt idx="351">
                  <c:v>1838369754.6763039</c:v>
                </c:pt>
                <c:pt idx="352">
                  <c:v>1840204831.0114334</c:v>
                </c:pt>
                <c:pt idx="353">
                  <c:v>1842038039.7287874</c:v>
                </c:pt>
                <c:pt idx="354">
                  <c:v>1843869387.9414105</c:v>
                </c:pt>
                <c:pt idx="355">
                  <c:v>1845698882.7137079</c:v>
                </c:pt>
                <c:pt idx="356">
                  <c:v>1847526531.0619237</c:v>
                </c:pt>
                <c:pt idx="357">
                  <c:v>1849352339.9546132</c:v>
                </c:pt>
                <c:pt idx="358">
                  <c:v>1851176316.3131096</c:v>
                </c:pt>
                <c:pt idx="359">
                  <c:v>1852998467.0119839</c:v>
                </c:pt>
                <c:pt idx="360">
                  <c:v>1854818798.8794999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0D-4F47-9427-80033737B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843023"/>
        <c:axId val="1"/>
      </c:scatterChart>
      <c:valAx>
        <c:axId val="210284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843023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modified!$F$1</c:f>
              <c:strCache>
                <c:ptCount val="1"/>
                <c:pt idx="0">
                  <c:v>value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modified!$A$2:$A$425</c:f>
              <c:numCache>
                <c:formatCode>0.00E+00</c:formatCode>
                <c:ptCount val="424"/>
                <c:pt idx="0" formatCode="General">
                  <c:v>0</c:v>
                </c:pt>
                <c:pt idx="1">
                  <c:v>1000000</c:v>
                </c:pt>
                <c:pt idx="2">
                  <c:v>2000000</c:v>
                </c:pt>
                <c:pt idx="3">
                  <c:v>3000000</c:v>
                </c:pt>
                <c:pt idx="4">
                  <c:v>4000000</c:v>
                </c:pt>
                <c:pt idx="5">
                  <c:v>5000000</c:v>
                </c:pt>
                <c:pt idx="6">
                  <c:v>6000000</c:v>
                </c:pt>
                <c:pt idx="7">
                  <c:v>7000000</c:v>
                </c:pt>
                <c:pt idx="8">
                  <c:v>8000000</c:v>
                </c:pt>
                <c:pt idx="9">
                  <c:v>9000000</c:v>
                </c:pt>
                <c:pt idx="10">
                  <c:v>10000000</c:v>
                </c:pt>
                <c:pt idx="11">
                  <c:v>11000000</c:v>
                </c:pt>
                <c:pt idx="12">
                  <c:v>12000000</c:v>
                </c:pt>
                <c:pt idx="13">
                  <c:v>13000000</c:v>
                </c:pt>
                <c:pt idx="14">
                  <c:v>14000000</c:v>
                </c:pt>
                <c:pt idx="15">
                  <c:v>15000000</c:v>
                </c:pt>
                <c:pt idx="16">
                  <c:v>16000000</c:v>
                </c:pt>
                <c:pt idx="17">
                  <c:v>17000000</c:v>
                </c:pt>
                <c:pt idx="18">
                  <c:v>18000000</c:v>
                </c:pt>
                <c:pt idx="19">
                  <c:v>19000000</c:v>
                </c:pt>
                <c:pt idx="20">
                  <c:v>20000000</c:v>
                </c:pt>
                <c:pt idx="21">
                  <c:v>21000000</c:v>
                </c:pt>
                <c:pt idx="22">
                  <c:v>22000000</c:v>
                </c:pt>
                <c:pt idx="23">
                  <c:v>23000000</c:v>
                </c:pt>
                <c:pt idx="24">
                  <c:v>24000000</c:v>
                </c:pt>
                <c:pt idx="25">
                  <c:v>25000000</c:v>
                </c:pt>
                <c:pt idx="26">
                  <c:v>26000000</c:v>
                </c:pt>
                <c:pt idx="27">
                  <c:v>27000000</c:v>
                </c:pt>
                <c:pt idx="28">
                  <c:v>28000000</c:v>
                </c:pt>
                <c:pt idx="29">
                  <c:v>29000000</c:v>
                </c:pt>
                <c:pt idx="30">
                  <c:v>30000000</c:v>
                </c:pt>
                <c:pt idx="31">
                  <c:v>31000000</c:v>
                </c:pt>
                <c:pt idx="32">
                  <c:v>32000000</c:v>
                </c:pt>
                <c:pt idx="33">
                  <c:v>33000000</c:v>
                </c:pt>
                <c:pt idx="34">
                  <c:v>34000000</c:v>
                </c:pt>
                <c:pt idx="35">
                  <c:v>35000000</c:v>
                </c:pt>
                <c:pt idx="36">
                  <c:v>36000000</c:v>
                </c:pt>
                <c:pt idx="37">
                  <c:v>37000000</c:v>
                </c:pt>
                <c:pt idx="38">
                  <c:v>38000000</c:v>
                </c:pt>
                <c:pt idx="39">
                  <c:v>39000000</c:v>
                </c:pt>
                <c:pt idx="40">
                  <c:v>40000000</c:v>
                </c:pt>
                <c:pt idx="41">
                  <c:v>41000000</c:v>
                </c:pt>
                <c:pt idx="42">
                  <c:v>42000000</c:v>
                </c:pt>
                <c:pt idx="43">
                  <c:v>43000000</c:v>
                </c:pt>
                <c:pt idx="44">
                  <c:v>44000000</c:v>
                </c:pt>
                <c:pt idx="45">
                  <c:v>45000000</c:v>
                </c:pt>
                <c:pt idx="46">
                  <c:v>46000000</c:v>
                </c:pt>
                <c:pt idx="47">
                  <c:v>47000000</c:v>
                </c:pt>
                <c:pt idx="48">
                  <c:v>48000000</c:v>
                </c:pt>
                <c:pt idx="49">
                  <c:v>49000000</c:v>
                </c:pt>
                <c:pt idx="50">
                  <c:v>50000000</c:v>
                </c:pt>
                <c:pt idx="51">
                  <c:v>51000000</c:v>
                </c:pt>
                <c:pt idx="52">
                  <c:v>52000000</c:v>
                </c:pt>
                <c:pt idx="53">
                  <c:v>53000000</c:v>
                </c:pt>
                <c:pt idx="54">
                  <c:v>54000000</c:v>
                </c:pt>
                <c:pt idx="55">
                  <c:v>55000000</c:v>
                </c:pt>
                <c:pt idx="56">
                  <c:v>56000000</c:v>
                </c:pt>
                <c:pt idx="57">
                  <c:v>57000000</c:v>
                </c:pt>
                <c:pt idx="58">
                  <c:v>58000000</c:v>
                </c:pt>
                <c:pt idx="59">
                  <c:v>59000000</c:v>
                </c:pt>
                <c:pt idx="60">
                  <c:v>60000000</c:v>
                </c:pt>
                <c:pt idx="61">
                  <c:v>61000000</c:v>
                </c:pt>
                <c:pt idx="62">
                  <c:v>62000000</c:v>
                </c:pt>
                <c:pt idx="63">
                  <c:v>63000000</c:v>
                </c:pt>
                <c:pt idx="64">
                  <c:v>64000000</c:v>
                </c:pt>
                <c:pt idx="65">
                  <c:v>65000000</c:v>
                </c:pt>
                <c:pt idx="66">
                  <c:v>66000000</c:v>
                </c:pt>
                <c:pt idx="67">
                  <c:v>67000000</c:v>
                </c:pt>
                <c:pt idx="68">
                  <c:v>68000000</c:v>
                </c:pt>
                <c:pt idx="69">
                  <c:v>69000000</c:v>
                </c:pt>
                <c:pt idx="70">
                  <c:v>70000000</c:v>
                </c:pt>
                <c:pt idx="71">
                  <c:v>71000000</c:v>
                </c:pt>
                <c:pt idx="72">
                  <c:v>72000000</c:v>
                </c:pt>
                <c:pt idx="73">
                  <c:v>73000000</c:v>
                </c:pt>
                <c:pt idx="74">
                  <c:v>74000000</c:v>
                </c:pt>
                <c:pt idx="75">
                  <c:v>75000000</c:v>
                </c:pt>
                <c:pt idx="76">
                  <c:v>76000000</c:v>
                </c:pt>
                <c:pt idx="77">
                  <c:v>77000000</c:v>
                </c:pt>
                <c:pt idx="78">
                  <c:v>78000000</c:v>
                </c:pt>
                <c:pt idx="79">
                  <c:v>79000000</c:v>
                </c:pt>
                <c:pt idx="80">
                  <c:v>80000000</c:v>
                </c:pt>
                <c:pt idx="81">
                  <c:v>81000000</c:v>
                </c:pt>
                <c:pt idx="82">
                  <c:v>82000000</c:v>
                </c:pt>
                <c:pt idx="83">
                  <c:v>83000000</c:v>
                </c:pt>
                <c:pt idx="84">
                  <c:v>84000000</c:v>
                </c:pt>
                <c:pt idx="85">
                  <c:v>85000000</c:v>
                </c:pt>
                <c:pt idx="86">
                  <c:v>86000000</c:v>
                </c:pt>
                <c:pt idx="87">
                  <c:v>87000000</c:v>
                </c:pt>
                <c:pt idx="88">
                  <c:v>88000000</c:v>
                </c:pt>
                <c:pt idx="89">
                  <c:v>89000000</c:v>
                </c:pt>
                <c:pt idx="90">
                  <c:v>90000000</c:v>
                </c:pt>
                <c:pt idx="91">
                  <c:v>91000000</c:v>
                </c:pt>
                <c:pt idx="92">
                  <c:v>92000000</c:v>
                </c:pt>
                <c:pt idx="93">
                  <c:v>93000000</c:v>
                </c:pt>
                <c:pt idx="94">
                  <c:v>94000000</c:v>
                </c:pt>
                <c:pt idx="95">
                  <c:v>95000000</c:v>
                </c:pt>
                <c:pt idx="96">
                  <c:v>96000000</c:v>
                </c:pt>
                <c:pt idx="97">
                  <c:v>97000000</c:v>
                </c:pt>
                <c:pt idx="98">
                  <c:v>98000000</c:v>
                </c:pt>
                <c:pt idx="99">
                  <c:v>99000000</c:v>
                </c:pt>
                <c:pt idx="100">
                  <c:v>100000000</c:v>
                </c:pt>
                <c:pt idx="101">
                  <c:v>101000000</c:v>
                </c:pt>
                <c:pt idx="102">
                  <c:v>102000000</c:v>
                </c:pt>
                <c:pt idx="103">
                  <c:v>103000000</c:v>
                </c:pt>
                <c:pt idx="104">
                  <c:v>104000000</c:v>
                </c:pt>
                <c:pt idx="105">
                  <c:v>105000000</c:v>
                </c:pt>
                <c:pt idx="106">
                  <c:v>106000000</c:v>
                </c:pt>
                <c:pt idx="107">
                  <c:v>107000000</c:v>
                </c:pt>
                <c:pt idx="108">
                  <c:v>108000000</c:v>
                </c:pt>
                <c:pt idx="109">
                  <c:v>109000000</c:v>
                </c:pt>
                <c:pt idx="110">
                  <c:v>110000000</c:v>
                </c:pt>
                <c:pt idx="111">
                  <c:v>111000000</c:v>
                </c:pt>
                <c:pt idx="112">
                  <c:v>112000000</c:v>
                </c:pt>
                <c:pt idx="113">
                  <c:v>113000000</c:v>
                </c:pt>
                <c:pt idx="114">
                  <c:v>114000000</c:v>
                </c:pt>
                <c:pt idx="115">
                  <c:v>115000000</c:v>
                </c:pt>
                <c:pt idx="116">
                  <c:v>116000000</c:v>
                </c:pt>
                <c:pt idx="117">
                  <c:v>117000000</c:v>
                </c:pt>
                <c:pt idx="118">
                  <c:v>118000000</c:v>
                </c:pt>
                <c:pt idx="119">
                  <c:v>119000000</c:v>
                </c:pt>
                <c:pt idx="120">
                  <c:v>120000000</c:v>
                </c:pt>
                <c:pt idx="121">
                  <c:v>121000000</c:v>
                </c:pt>
                <c:pt idx="122">
                  <c:v>122000000</c:v>
                </c:pt>
                <c:pt idx="123">
                  <c:v>123000000</c:v>
                </c:pt>
                <c:pt idx="124">
                  <c:v>124000000</c:v>
                </c:pt>
                <c:pt idx="125">
                  <c:v>125000000</c:v>
                </c:pt>
                <c:pt idx="126">
                  <c:v>126000000</c:v>
                </c:pt>
                <c:pt idx="127">
                  <c:v>127000000</c:v>
                </c:pt>
                <c:pt idx="128">
                  <c:v>128000000</c:v>
                </c:pt>
                <c:pt idx="129">
                  <c:v>129000000</c:v>
                </c:pt>
                <c:pt idx="130">
                  <c:v>130000000</c:v>
                </c:pt>
                <c:pt idx="131">
                  <c:v>131000000</c:v>
                </c:pt>
                <c:pt idx="132">
                  <c:v>132000000</c:v>
                </c:pt>
                <c:pt idx="133">
                  <c:v>133000000</c:v>
                </c:pt>
                <c:pt idx="134">
                  <c:v>134000000</c:v>
                </c:pt>
                <c:pt idx="135">
                  <c:v>135000000</c:v>
                </c:pt>
                <c:pt idx="136">
                  <c:v>136000000</c:v>
                </c:pt>
                <c:pt idx="137">
                  <c:v>137000000</c:v>
                </c:pt>
                <c:pt idx="138">
                  <c:v>138000000</c:v>
                </c:pt>
                <c:pt idx="139">
                  <c:v>139000000</c:v>
                </c:pt>
                <c:pt idx="140">
                  <c:v>140000000</c:v>
                </c:pt>
                <c:pt idx="141">
                  <c:v>141000000</c:v>
                </c:pt>
                <c:pt idx="142">
                  <c:v>142000000</c:v>
                </c:pt>
                <c:pt idx="143">
                  <c:v>143000000</c:v>
                </c:pt>
                <c:pt idx="144">
                  <c:v>144000000</c:v>
                </c:pt>
                <c:pt idx="145">
                  <c:v>145000000</c:v>
                </c:pt>
                <c:pt idx="146">
                  <c:v>146000000</c:v>
                </c:pt>
                <c:pt idx="147">
                  <c:v>147000000</c:v>
                </c:pt>
                <c:pt idx="148">
                  <c:v>148000000</c:v>
                </c:pt>
                <c:pt idx="149">
                  <c:v>149000000</c:v>
                </c:pt>
                <c:pt idx="150">
                  <c:v>150000000</c:v>
                </c:pt>
                <c:pt idx="151">
                  <c:v>151000000</c:v>
                </c:pt>
                <c:pt idx="152">
                  <c:v>152000000</c:v>
                </c:pt>
                <c:pt idx="153">
                  <c:v>153000000</c:v>
                </c:pt>
                <c:pt idx="154">
                  <c:v>154000000</c:v>
                </c:pt>
                <c:pt idx="155">
                  <c:v>155000000</c:v>
                </c:pt>
                <c:pt idx="156">
                  <c:v>156000000</c:v>
                </c:pt>
                <c:pt idx="157">
                  <c:v>157000000</c:v>
                </c:pt>
                <c:pt idx="158">
                  <c:v>158000000</c:v>
                </c:pt>
                <c:pt idx="159">
                  <c:v>159000000</c:v>
                </c:pt>
                <c:pt idx="160">
                  <c:v>160000000</c:v>
                </c:pt>
                <c:pt idx="161">
                  <c:v>161000000</c:v>
                </c:pt>
                <c:pt idx="162">
                  <c:v>162000000</c:v>
                </c:pt>
                <c:pt idx="163">
                  <c:v>163000000</c:v>
                </c:pt>
                <c:pt idx="164">
                  <c:v>164000000</c:v>
                </c:pt>
                <c:pt idx="165">
                  <c:v>165000000</c:v>
                </c:pt>
                <c:pt idx="166">
                  <c:v>166000000</c:v>
                </c:pt>
                <c:pt idx="167">
                  <c:v>167000000</c:v>
                </c:pt>
                <c:pt idx="168">
                  <c:v>168000000</c:v>
                </c:pt>
                <c:pt idx="169">
                  <c:v>169000000</c:v>
                </c:pt>
                <c:pt idx="170">
                  <c:v>170000000</c:v>
                </c:pt>
                <c:pt idx="171">
                  <c:v>171000000</c:v>
                </c:pt>
                <c:pt idx="172">
                  <c:v>172000000</c:v>
                </c:pt>
                <c:pt idx="173">
                  <c:v>173000000</c:v>
                </c:pt>
                <c:pt idx="174">
                  <c:v>174000000</c:v>
                </c:pt>
                <c:pt idx="175">
                  <c:v>175000000</c:v>
                </c:pt>
                <c:pt idx="176">
                  <c:v>176000000</c:v>
                </c:pt>
                <c:pt idx="177">
                  <c:v>177000000</c:v>
                </c:pt>
                <c:pt idx="178">
                  <c:v>178000000</c:v>
                </c:pt>
                <c:pt idx="179">
                  <c:v>179000000</c:v>
                </c:pt>
                <c:pt idx="180">
                  <c:v>180000000</c:v>
                </c:pt>
                <c:pt idx="181">
                  <c:v>181000000</c:v>
                </c:pt>
                <c:pt idx="182">
                  <c:v>182000000</c:v>
                </c:pt>
                <c:pt idx="183">
                  <c:v>183000000</c:v>
                </c:pt>
                <c:pt idx="184">
                  <c:v>184000000</c:v>
                </c:pt>
                <c:pt idx="185">
                  <c:v>185000000</c:v>
                </c:pt>
                <c:pt idx="186">
                  <c:v>186000000</c:v>
                </c:pt>
                <c:pt idx="187">
                  <c:v>187000000</c:v>
                </c:pt>
                <c:pt idx="188">
                  <c:v>188000000</c:v>
                </c:pt>
                <c:pt idx="189">
                  <c:v>189000000</c:v>
                </c:pt>
                <c:pt idx="190">
                  <c:v>190000000</c:v>
                </c:pt>
                <c:pt idx="191">
                  <c:v>191000000</c:v>
                </c:pt>
                <c:pt idx="192">
                  <c:v>192000000</c:v>
                </c:pt>
                <c:pt idx="193">
                  <c:v>193000000</c:v>
                </c:pt>
                <c:pt idx="194">
                  <c:v>194000000</c:v>
                </c:pt>
                <c:pt idx="195">
                  <c:v>195000000</c:v>
                </c:pt>
                <c:pt idx="196">
                  <c:v>196000000</c:v>
                </c:pt>
                <c:pt idx="197">
                  <c:v>197000000</c:v>
                </c:pt>
                <c:pt idx="198">
                  <c:v>198000000</c:v>
                </c:pt>
                <c:pt idx="199">
                  <c:v>199000000</c:v>
                </c:pt>
                <c:pt idx="200">
                  <c:v>200000000</c:v>
                </c:pt>
                <c:pt idx="201">
                  <c:v>201000000</c:v>
                </c:pt>
                <c:pt idx="202">
                  <c:v>202000000</c:v>
                </c:pt>
                <c:pt idx="203">
                  <c:v>203000000</c:v>
                </c:pt>
                <c:pt idx="204">
                  <c:v>204000000</c:v>
                </c:pt>
                <c:pt idx="205">
                  <c:v>205000000</c:v>
                </c:pt>
                <c:pt idx="206">
                  <c:v>206000000</c:v>
                </c:pt>
                <c:pt idx="207">
                  <c:v>207000000</c:v>
                </c:pt>
                <c:pt idx="208">
                  <c:v>208000000</c:v>
                </c:pt>
                <c:pt idx="209">
                  <c:v>209000000</c:v>
                </c:pt>
                <c:pt idx="210">
                  <c:v>210000000</c:v>
                </c:pt>
                <c:pt idx="211">
                  <c:v>211000000</c:v>
                </c:pt>
                <c:pt idx="212">
                  <c:v>212000000</c:v>
                </c:pt>
                <c:pt idx="213">
                  <c:v>213000000</c:v>
                </c:pt>
                <c:pt idx="214">
                  <c:v>214000000</c:v>
                </c:pt>
                <c:pt idx="215">
                  <c:v>215000000</c:v>
                </c:pt>
                <c:pt idx="216">
                  <c:v>216000000</c:v>
                </c:pt>
                <c:pt idx="217">
                  <c:v>217000000</c:v>
                </c:pt>
                <c:pt idx="218">
                  <c:v>218000000</c:v>
                </c:pt>
                <c:pt idx="219">
                  <c:v>219000000</c:v>
                </c:pt>
                <c:pt idx="220">
                  <c:v>220000000</c:v>
                </c:pt>
                <c:pt idx="221">
                  <c:v>221000000</c:v>
                </c:pt>
                <c:pt idx="222">
                  <c:v>222000000</c:v>
                </c:pt>
                <c:pt idx="223">
                  <c:v>223000000</c:v>
                </c:pt>
                <c:pt idx="224">
                  <c:v>224000000</c:v>
                </c:pt>
                <c:pt idx="225">
                  <c:v>225000000</c:v>
                </c:pt>
                <c:pt idx="226">
                  <c:v>226000000</c:v>
                </c:pt>
                <c:pt idx="227">
                  <c:v>227000000</c:v>
                </c:pt>
                <c:pt idx="228">
                  <c:v>228000000</c:v>
                </c:pt>
                <c:pt idx="229">
                  <c:v>229000000</c:v>
                </c:pt>
                <c:pt idx="230">
                  <c:v>230000000</c:v>
                </c:pt>
                <c:pt idx="231">
                  <c:v>231000000</c:v>
                </c:pt>
                <c:pt idx="232">
                  <c:v>232000000</c:v>
                </c:pt>
                <c:pt idx="233">
                  <c:v>233000000</c:v>
                </c:pt>
                <c:pt idx="234">
                  <c:v>234000000</c:v>
                </c:pt>
                <c:pt idx="235">
                  <c:v>235000000</c:v>
                </c:pt>
                <c:pt idx="236">
                  <c:v>236000000</c:v>
                </c:pt>
                <c:pt idx="237">
                  <c:v>237000000</c:v>
                </c:pt>
                <c:pt idx="238">
                  <c:v>238000000</c:v>
                </c:pt>
                <c:pt idx="239">
                  <c:v>239000000</c:v>
                </c:pt>
                <c:pt idx="240">
                  <c:v>240000000</c:v>
                </c:pt>
                <c:pt idx="241">
                  <c:v>241000000</c:v>
                </c:pt>
                <c:pt idx="242">
                  <c:v>242000000</c:v>
                </c:pt>
                <c:pt idx="243">
                  <c:v>243000000</c:v>
                </c:pt>
                <c:pt idx="244">
                  <c:v>244000000</c:v>
                </c:pt>
                <c:pt idx="245">
                  <c:v>245000000</c:v>
                </c:pt>
                <c:pt idx="246">
                  <c:v>246000000</c:v>
                </c:pt>
                <c:pt idx="247">
                  <c:v>247000000</c:v>
                </c:pt>
                <c:pt idx="248">
                  <c:v>248000000</c:v>
                </c:pt>
                <c:pt idx="249">
                  <c:v>249000000</c:v>
                </c:pt>
                <c:pt idx="250">
                  <c:v>250000000</c:v>
                </c:pt>
                <c:pt idx="251">
                  <c:v>251000000</c:v>
                </c:pt>
                <c:pt idx="252">
                  <c:v>252000000</c:v>
                </c:pt>
                <c:pt idx="253">
                  <c:v>253000000</c:v>
                </c:pt>
                <c:pt idx="254">
                  <c:v>254000000</c:v>
                </c:pt>
                <c:pt idx="255">
                  <c:v>255000000</c:v>
                </c:pt>
                <c:pt idx="256">
                  <c:v>256000000</c:v>
                </c:pt>
                <c:pt idx="257">
                  <c:v>257000000</c:v>
                </c:pt>
                <c:pt idx="258">
                  <c:v>258000000</c:v>
                </c:pt>
                <c:pt idx="259">
                  <c:v>259000000</c:v>
                </c:pt>
                <c:pt idx="260">
                  <c:v>260000000</c:v>
                </c:pt>
                <c:pt idx="261">
                  <c:v>261000000</c:v>
                </c:pt>
                <c:pt idx="262">
                  <c:v>262000000</c:v>
                </c:pt>
                <c:pt idx="263">
                  <c:v>263000000</c:v>
                </c:pt>
                <c:pt idx="264">
                  <c:v>264000000</c:v>
                </c:pt>
                <c:pt idx="265">
                  <c:v>265000000</c:v>
                </c:pt>
                <c:pt idx="266">
                  <c:v>266000000</c:v>
                </c:pt>
                <c:pt idx="267">
                  <c:v>267000000</c:v>
                </c:pt>
                <c:pt idx="268">
                  <c:v>268000000</c:v>
                </c:pt>
                <c:pt idx="269">
                  <c:v>269000000</c:v>
                </c:pt>
                <c:pt idx="270">
                  <c:v>270000000</c:v>
                </c:pt>
                <c:pt idx="271">
                  <c:v>271000000</c:v>
                </c:pt>
                <c:pt idx="272">
                  <c:v>272000000</c:v>
                </c:pt>
                <c:pt idx="273">
                  <c:v>273000000</c:v>
                </c:pt>
                <c:pt idx="274">
                  <c:v>274000000</c:v>
                </c:pt>
                <c:pt idx="275">
                  <c:v>275000000</c:v>
                </c:pt>
                <c:pt idx="276">
                  <c:v>276000000</c:v>
                </c:pt>
                <c:pt idx="277">
                  <c:v>277000000</c:v>
                </c:pt>
                <c:pt idx="278">
                  <c:v>278000000</c:v>
                </c:pt>
                <c:pt idx="279">
                  <c:v>279000000</c:v>
                </c:pt>
                <c:pt idx="280">
                  <c:v>280000000</c:v>
                </c:pt>
                <c:pt idx="281">
                  <c:v>281000000</c:v>
                </c:pt>
                <c:pt idx="282">
                  <c:v>282000000</c:v>
                </c:pt>
                <c:pt idx="283">
                  <c:v>283000000</c:v>
                </c:pt>
                <c:pt idx="284">
                  <c:v>284000000</c:v>
                </c:pt>
                <c:pt idx="285">
                  <c:v>285000000</c:v>
                </c:pt>
                <c:pt idx="286">
                  <c:v>286000000</c:v>
                </c:pt>
                <c:pt idx="287">
                  <c:v>287000000</c:v>
                </c:pt>
                <c:pt idx="288">
                  <c:v>288000000</c:v>
                </c:pt>
                <c:pt idx="289">
                  <c:v>289000000</c:v>
                </c:pt>
                <c:pt idx="290">
                  <c:v>290000000</c:v>
                </c:pt>
                <c:pt idx="291">
                  <c:v>291000000</c:v>
                </c:pt>
                <c:pt idx="292">
                  <c:v>292000000</c:v>
                </c:pt>
                <c:pt idx="293">
                  <c:v>293000000</c:v>
                </c:pt>
                <c:pt idx="294">
                  <c:v>294000000</c:v>
                </c:pt>
                <c:pt idx="295">
                  <c:v>295000000</c:v>
                </c:pt>
                <c:pt idx="296">
                  <c:v>296000000</c:v>
                </c:pt>
                <c:pt idx="297">
                  <c:v>297000000</c:v>
                </c:pt>
                <c:pt idx="298">
                  <c:v>298000000</c:v>
                </c:pt>
                <c:pt idx="299">
                  <c:v>299000000</c:v>
                </c:pt>
                <c:pt idx="300">
                  <c:v>300000000</c:v>
                </c:pt>
                <c:pt idx="301">
                  <c:v>301000000</c:v>
                </c:pt>
                <c:pt idx="302">
                  <c:v>302000000</c:v>
                </c:pt>
                <c:pt idx="303">
                  <c:v>303000000</c:v>
                </c:pt>
                <c:pt idx="304">
                  <c:v>304000000</c:v>
                </c:pt>
                <c:pt idx="305">
                  <c:v>305000000</c:v>
                </c:pt>
                <c:pt idx="306">
                  <c:v>306000000</c:v>
                </c:pt>
                <c:pt idx="307">
                  <c:v>307000000</c:v>
                </c:pt>
                <c:pt idx="308">
                  <c:v>308000000</c:v>
                </c:pt>
                <c:pt idx="309">
                  <c:v>309000000</c:v>
                </c:pt>
                <c:pt idx="310">
                  <c:v>310000000</c:v>
                </c:pt>
                <c:pt idx="311">
                  <c:v>311000000</c:v>
                </c:pt>
                <c:pt idx="312">
                  <c:v>312000000</c:v>
                </c:pt>
                <c:pt idx="313">
                  <c:v>313000000</c:v>
                </c:pt>
                <c:pt idx="314">
                  <c:v>314000000</c:v>
                </c:pt>
                <c:pt idx="315">
                  <c:v>315000000</c:v>
                </c:pt>
                <c:pt idx="316">
                  <c:v>316000000</c:v>
                </c:pt>
                <c:pt idx="317">
                  <c:v>317000000</c:v>
                </c:pt>
                <c:pt idx="318">
                  <c:v>318000000</c:v>
                </c:pt>
                <c:pt idx="319">
                  <c:v>319000000</c:v>
                </c:pt>
                <c:pt idx="320">
                  <c:v>320000000</c:v>
                </c:pt>
                <c:pt idx="321">
                  <c:v>321000000</c:v>
                </c:pt>
                <c:pt idx="322">
                  <c:v>322000000</c:v>
                </c:pt>
                <c:pt idx="323">
                  <c:v>323000000</c:v>
                </c:pt>
                <c:pt idx="324">
                  <c:v>324000000</c:v>
                </c:pt>
                <c:pt idx="325">
                  <c:v>325000000</c:v>
                </c:pt>
                <c:pt idx="326">
                  <c:v>326000000</c:v>
                </c:pt>
                <c:pt idx="327">
                  <c:v>327000000</c:v>
                </c:pt>
                <c:pt idx="328">
                  <c:v>328000000</c:v>
                </c:pt>
                <c:pt idx="329">
                  <c:v>329000000</c:v>
                </c:pt>
                <c:pt idx="330">
                  <c:v>330000000</c:v>
                </c:pt>
                <c:pt idx="331">
                  <c:v>331000000</c:v>
                </c:pt>
                <c:pt idx="332">
                  <c:v>332000000</c:v>
                </c:pt>
                <c:pt idx="333">
                  <c:v>333000000</c:v>
                </c:pt>
                <c:pt idx="334">
                  <c:v>334000000</c:v>
                </c:pt>
                <c:pt idx="335">
                  <c:v>335000000</c:v>
                </c:pt>
                <c:pt idx="336">
                  <c:v>336000000</c:v>
                </c:pt>
                <c:pt idx="337">
                  <c:v>337000000</c:v>
                </c:pt>
                <c:pt idx="338">
                  <c:v>338000000</c:v>
                </c:pt>
                <c:pt idx="339">
                  <c:v>339000000</c:v>
                </c:pt>
                <c:pt idx="340">
                  <c:v>340000000</c:v>
                </c:pt>
                <c:pt idx="341">
                  <c:v>341000000</c:v>
                </c:pt>
                <c:pt idx="342">
                  <c:v>342000000</c:v>
                </c:pt>
                <c:pt idx="343">
                  <c:v>343000000</c:v>
                </c:pt>
                <c:pt idx="344">
                  <c:v>344000000</c:v>
                </c:pt>
                <c:pt idx="345">
                  <c:v>345000000</c:v>
                </c:pt>
                <c:pt idx="346">
                  <c:v>346000000</c:v>
                </c:pt>
                <c:pt idx="347">
                  <c:v>347000000</c:v>
                </c:pt>
                <c:pt idx="348">
                  <c:v>348000000</c:v>
                </c:pt>
                <c:pt idx="349">
                  <c:v>349000000</c:v>
                </c:pt>
                <c:pt idx="350">
                  <c:v>350000000</c:v>
                </c:pt>
                <c:pt idx="351">
                  <c:v>351000000</c:v>
                </c:pt>
                <c:pt idx="352">
                  <c:v>352000000</c:v>
                </c:pt>
                <c:pt idx="353">
                  <c:v>353000000</c:v>
                </c:pt>
                <c:pt idx="354">
                  <c:v>354000000</c:v>
                </c:pt>
                <c:pt idx="355">
                  <c:v>355000000</c:v>
                </c:pt>
                <c:pt idx="356">
                  <c:v>356000000</c:v>
                </c:pt>
                <c:pt idx="357">
                  <c:v>357000000</c:v>
                </c:pt>
                <c:pt idx="358">
                  <c:v>358000000</c:v>
                </c:pt>
                <c:pt idx="359">
                  <c:v>359000000</c:v>
                </c:pt>
                <c:pt idx="360">
                  <c:v>360000000</c:v>
                </c:pt>
              </c:numCache>
            </c:numRef>
          </c:xVal>
          <c:yVal>
            <c:numRef>
              <c:f>modified!$F$2:$F$425</c:f>
              <c:numCache>
                <c:formatCode>0.00E+00</c:formatCode>
                <c:ptCount val="424"/>
                <c:pt idx="0">
                  <c:v>0</c:v>
                </c:pt>
                <c:pt idx="1">
                  <c:v>-2812822.2531453343</c:v>
                </c:pt>
                <c:pt idx="2">
                  <c:v>-5021078.5406981874</c:v>
                </c:pt>
                <c:pt idx="3">
                  <c:v>-6929903.9819816034</c:v>
                </c:pt>
                <c:pt idx="4">
                  <c:v>-8643429.2666586228</c:v>
                </c:pt>
                <c:pt idx="5">
                  <c:v>-10213408.603868311</c:v>
                </c:pt>
                <c:pt idx="6">
                  <c:v>-11670424.533027098</c:v>
                </c:pt>
                <c:pt idx="7">
                  <c:v>-13034475.560052181</c:v>
                </c:pt>
                <c:pt idx="8">
                  <c:v>-14319539.064364083</c:v>
                </c:pt>
                <c:pt idx="9">
                  <c:v>-15535852.059053805</c:v>
                </c:pt>
                <c:pt idx="10">
                  <c:v>-16691173.793156883</c:v>
                </c:pt>
                <c:pt idx="11">
                  <c:v>-17791539.111114442</c:v>
                </c:pt>
                <c:pt idx="12">
                  <c:v>-18841734.518458448</c:v>
                </c:pt>
                <c:pt idx="13">
                  <c:v>-19845612.959076855</c:v>
                </c:pt>
                <c:pt idx="14">
                  <c:v>-20806309.683578838</c:v>
                </c:pt>
                <c:pt idx="15">
                  <c:v>-21726394.764368057</c:v>
                </c:pt>
                <c:pt idx="16">
                  <c:v>-22607983.517609015</c:v>
                </c:pt>
                <c:pt idx="17">
                  <c:v>-23452818.063265942</c:v>
                </c:pt>
                <c:pt idx="18">
                  <c:v>-24262328.540777761</c:v>
                </c:pt>
                <c:pt idx="19">
                  <c:v>-25037679.62358458</c:v>
                </c:pt>
                <c:pt idx="20">
                  <c:v>-25779806.163978416</c:v>
                </c:pt>
                <c:pt idx="21">
                  <c:v>-26489440.623796728</c:v>
                </c:pt>
                <c:pt idx="22">
                  <c:v>-27167134.162681747</c:v>
                </c:pt>
                <c:pt idx="23">
                  <c:v>-27813272.720185649</c:v>
                </c:pt>
                <c:pt idx="24">
                  <c:v>-28428089.053436346</c:v>
                </c:pt>
                <c:pt idx="25">
                  <c:v>-29011671.423697855</c:v>
                </c:pt>
                <c:pt idx="26">
                  <c:v>-29563969.427863758</c:v>
                </c:pt>
                <c:pt idx="27">
                  <c:v>-30084797.321600396</c:v>
                </c:pt>
                <c:pt idx="28">
                  <c:v>-30573835.063863542</c:v>
                </c:pt>
                <c:pt idx="29">
                  <c:v>-31030627.21691446</c:v>
                </c:pt>
                <c:pt idx="30">
                  <c:v>-31454579.753799062</c:v>
                </c:pt>
                <c:pt idx="31">
                  <c:v>-31844954.75041011</c:v>
                </c:pt>
                <c:pt idx="32">
                  <c:v>-32200862.866679028</c:v>
                </c:pt>
                <c:pt idx="33">
                  <c:v>-32521253.446587052</c:v>
                </c:pt>
                <c:pt idx="34">
                  <c:v>-32804901.985022854</c:v>
                </c:pt>
                <c:pt idx="35">
                  <c:v>-33050394.616115525</c:v>
                </c:pt>
                <c:pt idx="36">
                  <c:v>-33256109.166738726</c:v>
                </c:pt>
                <c:pt idx="37">
                  <c:v>-33420192.183181841</c:v>
                </c:pt>
                <c:pt idx="38">
                  <c:v>-33540531.169123128</c:v>
                </c:pt>
                <c:pt idx="39">
                  <c:v>-33614721.056448884</c:v>
                </c:pt>
                <c:pt idx="40">
                  <c:v>-33640023.649950147</c:v>
                </c:pt>
                <c:pt idx="41">
                  <c:v>-33613318.418557391</c:v>
                </c:pt>
                <c:pt idx="42">
                  <c:v>-33531042.515680321</c:v>
                </c:pt>
                <c:pt idx="43">
                  <c:v>-33389117.250768811</c:v>
                </c:pt>
                <c:pt idx="44">
                  <c:v>-33182857.332481273</c:v>
                </c:pt>
                <c:pt idx="45">
                  <c:v>-32906857.955770083</c:v>
                </c:pt>
                <c:pt idx="46">
                  <c:v>-32554853.052476719</c:v>
                </c:pt>
                <c:pt idx="47">
                  <c:v>-32119535.524829842</c:v>
                </c:pt>
                <c:pt idx="48">
                  <c:v>-31592326.653608102</c:v>
                </c:pt>
                <c:pt idx="49">
                  <c:v>-30963076.51025071</c:v>
                </c:pt>
                <c:pt idx="50">
                  <c:v>-30219669.110508583</c:v>
                </c:pt>
                <c:pt idx="51">
                  <c:v>-29347493.555158749</c:v>
                </c:pt>
                <c:pt idx="52">
                  <c:v>-28328722.618697081</c:v>
                </c:pt>
                <c:pt idx="53">
                  <c:v>-27141307.997116365</c:v>
                </c:pt>
                <c:pt idx="54">
                  <c:v>-25757547.108520821</c:v>
                </c:pt>
                <c:pt idx="55">
                  <c:v>-24141981.355772715</c:v>
                </c:pt>
                <c:pt idx="56">
                  <c:v>-22248212.269956641</c:v>
                </c:pt>
                <c:pt idx="57">
                  <c:v>-20013888.43947006</c:v>
                </c:pt>
                <c:pt idx="58">
                  <c:v>-17352434.627594352</c:v>
                </c:pt>
                <c:pt idx="59">
                  <c:v>-14138594.51240921</c:v>
                </c:pt>
                <c:pt idx="60">
                  <c:v>-10181236.630921638</c:v>
                </c:pt>
                <c:pt idx="61">
                  <c:v>-5167019.0483441381</c:v>
                </c:pt>
                <c:pt idx="62">
                  <c:v>1472984.315414127</c:v>
                </c:pt>
                <c:pt idx="63">
                  <c:v>10948622.976055376</c:v>
                </c:pt>
                <c:pt idx="64">
                  <c:v>26673013.30886732</c:v>
                </c:pt>
                <c:pt idx="65">
                  <c:v>68280227.994510829</c:v>
                </c:pt>
                <c:pt idx="66">
                  <c:v>11530076293.127487</c:v>
                </c:pt>
                <c:pt idx="67">
                  <c:v>11930547535.991106</c:v>
                </c:pt>
                <c:pt idx="68">
                  <c:v>12164236383.069363</c:v>
                </c:pt>
                <c:pt idx="69">
                  <c:v>12328881455.242922</c:v>
                </c:pt>
                <c:pt idx="70">
                  <c:v>12455619688.412271</c:v>
                </c:pt>
                <c:pt idx="71">
                  <c:v>12558352446.572586</c:v>
                </c:pt>
                <c:pt idx="72">
                  <c:v>12644501862.013016</c:v>
                </c:pt>
                <c:pt idx="73">
                  <c:v>12718502536.137945</c:v>
                </c:pt>
                <c:pt idx="74">
                  <c:v>12783218193.264606</c:v>
                </c:pt>
                <c:pt idx="75">
                  <c:v>12840606709.403204</c:v>
                </c:pt>
                <c:pt idx="76">
                  <c:v>12892066469.449345</c:v>
                </c:pt>
                <c:pt idx="77">
                  <c:v>12938631409.145777</c:v>
                </c:pt>
                <c:pt idx="78">
                  <c:v>12981087761.017864</c:v>
                </c:pt>
                <c:pt idx="79">
                  <c:v>13020047451.783119</c:v>
                </c:pt>
                <c:pt idx="80">
                  <c:v>13055996149.225719</c:v>
                </c:pt>
                <c:pt idx="81">
                  <c:v>13089325797.07472</c:v>
                </c:pt>
                <c:pt idx="82">
                  <c:v>13120357289.303236</c:v>
                </c:pt>
                <c:pt idx="83">
                  <c:v>13149356668.941488</c:v>
                </c:pt>
                <c:pt idx="84">
                  <c:v>13176546953.091852</c:v>
                </c:pt>
                <c:pt idx="85">
                  <c:v>13202116930.247238</c:v>
                </c:pt>
                <c:pt idx="86">
                  <c:v>13226227815.883699</c:v>
                </c:pt>
                <c:pt idx="87">
                  <c:v>13249018363.654434</c:v>
                </c:pt>
                <c:pt idx="88">
                  <c:v>13270608843.624804</c:v>
                </c:pt>
                <c:pt idx="89">
                  <c:v>13291104176.438395</c:v>
                </c:pt>
                <c:pt idx="90">
                  <c:v>13310596429.794472</c:v>
                </c:pt>
                <c:pt idx="91">
                  <c:v>13329166827.000738</c:v>
                </c:pt>
                <c:pt idx="92">
                  <c:v>13346887377.841309</c:v>
                </c:pt>
                <c:pt idx="93">
                  <c:v>13363822213.971325</c:v>
                </c:pt>
                <c:pt idx="94">
                  <c:v>13380028690.885326</c:v>
                </c:pt>
                <c:pt idx="95">
                  <c:v>13395558303.806938</c:v>
                </c:pt>
                <c:pt idx="96">
                  <c:v>13410457454.000172</c:v>
                </c:pt>
                <c:pt idx="97">
                  <c:v>13424768093.907442</c:v>
                </c:pt>
                <c:pt idx="98">
                  <c:v>13438528273.414381</c:v>
                </c:pt>
                <c:pt idx="99">
                  <c:v>13451772604.892441</c:v>
                </c:pt>
                <c:pt idx="100">
                  <c:v>13464532661.097622</c:v>
                </c:pt>
                <c:pt idx="101">
                  <c:v>13476837317.234701</c:v>
                </c:pt>
                <c:pt idx="102">
                  <c:v>13488713046.33321</c:v>
                </c:pt>
                <c:pt idx="103">
                  <c:v>13500184175.378851</c:v>
                </c:pt>
                <c:pt idx="104">
                  <c:v>13511273108.294535</c:v>
                </c:pt>
                <c:pt idx="105">
                  <c:v>13522000520.788412</c:v>
                </c:pt>
                <c:pt idx="106">
                  <c:v>13532385531.221737</c:v>
                </c:pt>
                <c:pt idx="107">
                  <c:v>13542445850.951075</c:v>
                </c:pt>
                <c:pt idx="108">
                  <c:v>13552197917.032188</c:v>
                </c:pt>
                <c:pt idx="109">
                  <c:v>13561657009.709822</c:v>
                </c:pt>
                <c:pt idx="110">
                  <c:v>13570837356.737484</c:v>
                </c:pt>
                <c:pt idx="111">
                  <c:v>13579752226.2579</c:v>
                </c:pt>
                <c:pt idx="112">
                  <c:v>13588414009.715145</c:v>
                </c:pt>
                <c:pt idx="113">
                  <c:v>13596834296.053398</c:v>
                </c:pt>
                <c:pt idx="114">
                  <c:v>13605023938.276739</c:v>
                </c:pt>
                <c:pt idx="115">
                  <c:v>13612993113.293013</c:v>
                </c:pt>
                <c:pt idx="116">
                  <c:v>13620751375.83721</c:v>
                </c:pt>
                <c:pt idx="117">
                  <c:v>13628307707.162115</c:v>
                </c:pt>
                <c:pt idx="118">
                  <c:v>13635670559.092543</c:v>
                </c:pt>
                <c:pt idx="119">
                  <c:v>13642847893.961729</c:v>
                </c:pt>
                <c:pt idx="120">
                  <c:v>13649847220.882038</c:v>
                </c:pt>
                <c:pt idx="121">
                  <c:v>13656675628.745346</c:v>
                </c:pt>
                <c:pt idx="122">
                  <c:v>13663339816.299566</c:v>
                </c:pt>
                <c:pt idx="123">
                  <c:v>13669846119.605803</c:v>
                </c:pt>
                <c:pt idx="124">
                  <c:v>13676200537.144255</c:v>
                </c:pt>
                <c:pt idx="125">
                  <c:v>13682408752.805553</c:v>
                </c:pt>
                <c:pt idx="126">
                  <c:v>13688476156.976913</c:v>
                </c:pt>
                <c:pt idx="127">
                  <c:v>13694407865.908718</c:v>
                </c:pt>
                <c:pt idx="128">
                  <c:v>13700208739.526424</c:v>
                </c:pt>
                <c:pt idx="129">
                  <c:v>13705883397.834538</c:v>
                </c:pt>
                <c:pt idx="130">
                  <c:v>13711436236.043531</c:v>
                </c:pt>
                <c:pt idx="131">
                  <c:v>13716871438.536633</c:v>
                </c:pt>
                <c:pt idx="132">
                  <c:v>13722192991.781115</c:v>
                </c:pt>
                <c:pt idx="133">
                  <c:v>13727404696.277906</c:v>
                </c:pt>
                <c:pt idx="134">
                  <c:v>13732510177.63378</c:v>
                </c:pt>
                <c:pt idx="135">
                  <c:v>13737512896.831875</c:v>
                </c:pt>
                <c:pt idx="136">
                  <c:v>13742416159.768864</c:v>
                </c:pt>
                <c:pt idx="137">
                  <c:v>13747223126.12031</c:v>
                </c:pt>
                <c:pt idx="138">
                  <c:v>13751936817.58993</c:v>
                </c:pt>
                <c:pt idx="139">
                  <c:v>13756560125.593082</c:v>
                </c:pt>
                <c:pt idx="140">
                  <c:v>13761095818.420164</c:v>
                </c:pt>
                <c:pt idx="141">
                  <c:v>13765546547.921299</c:v>
                </c:pt>
                <c:pt idx="142">
                  <c:v>13769914855.749966</c:v>
                </c:pt>
                <c:pt idx="143">
                  <c:v>13774203179.199793</c:v>
                </c:pt>
                <c:pt idx="144">
                  <c:v>13778413856.665705</c:v>
                </c:pt>
                <c:pt idx="145">
                  <c:v>13782549132.757856</c:v>
                </c:pt>
                <c:pt idx="146">
                  <c:v>13786611163.094334</c:v>
                </c:pt>
                <c:pt idx="147">
                  <c:v>13790602018.796337</c:v>
                </c:pt>
                <c:pt idx="148">
                  <c:v>13794523690.707603</c:v>
                </c:pt>
                <c:pt idx="149">
                  <c:v>13798378093.357927</c:v>
                </c:pt>
                <c:pt idx="150">
                  <c:v>13802167068.689075</c:v>
                </c:pt>
                <c:pt idx="151">
                  <c:v>13805892389.559828</c:v>
                </c:pt>
                <c:pt idx="152">
                  <c:v>13809555763.045555</c:v>
                </c:pt>
                <c:pt idx="153">
                  <c:v>13813158833.54649</c:v>
                </c:pt>
                <c:pt idx="154">
                  <c:v>13816703185.71776</c:v>
                </c:pt>
                <c:pt idx="155">
                  <c:v>13820190347.233187</c:v>
                </c:pt>
                <c:pt idx="156">
                  <c:v>13823621791.393948</c:v>
                </c:pt>
                <c:pt idx="157">
                  <c:v>13826998939.59236</c:v>
                </c:pt>
                <c:pt idx="158">
                  <c:v>13830323163.640223</c:v>
                </c:pt>
                <c:pt idx="159">
                  <c:v>13833595787.970509</c:v>
                </c:pt>
                <c:pt idx="160">
                  <c:v>13836818091.720486</c:v>
                </c:pt>
                <c:pt idx="161">
                  <c:v>13839991310.703791</c:v>
                </c:pt>
                <c:pt idx="162">
                  <c:v>13843116639.278418</c:v>
                </c:pt>
                <c:pt idx="163">
                  <c:v>13846195232.117085</c:v>
                </c:pt>
                <c:pt idx="164">
                  <c:v>13849228205.885981</c:v>
                </c:pt>
                <c:pt idx="165">
                  <c:v>13852216640.837471</c:v>
                </c:pt>
                <c:pt idx="166">
                  <c:v>13855161582.321957</c:v>
                </c:pt>
                <c:pt idx="167">
                  <c:v>13858064042.223701</c:v>
                </c:pt>
                <c:pt idx="168">
                  <c:v>13860925000.325146</c:v>
                </c:pt>
                <c:pt idx="169">
                  <c:v>13863745405.603891</c:v>
                </c:pt>
                <c:pt idx="170">
                  <c:v>13866526177.466261</c:v>
                </c:pt>
                <c:pt idx="171">
                  <c:v>13869268206.921095</c:v>
                </c:pt>
                <c:pt idx="172">
                  <c:v>13871972357.697195</c:v>
                </c:pt>
                <c:pt idx="173">
                  <c:v>13874639467.307592</c:v>
                </c:pt>
                <c:pt idx="174">
                  <c:v>13877270348.063622</c:v>
                </c:pt>
                <c:pt idx="175">
                  <c:v>13879865788.041607</c:v>
                </c:pt>
                <c:pt idx="176">
                  <c:v>13882426552.004745</c:v>
                </c:pt>
                <c:pt idx="177">
                  <c:v>13884953382.28265</c:v>
                </c:pt>
                <c:pt idx="178">
                  <c:v>13887446999.610847</c:v>
                </c:pt>
                <c:pt idx="179">
                  <c:v>13889908103.932373</c:v>
                </c:pt>
                <c:pt idx="180">
                  <c:v>13892337375.163483</c:v>
                </c:pt>
                <c:pt idx="181">
                  <c:v>13894735473.925396</c:v>
                </c:pt>
                <c:pt idx="182">
                  <c:v>13897103042.243818</c:v>
                </c:pt>
                <c:pt idx="183">
                  <c:v>13899440704.217955</c:v>
                </c:pt>
                <c:pt idx="184">
                  <c:v>13901749066.660561</c:v>
                </c:pt>
                <c:pt idx="185">
                  <c:v>13904028719.710533</c:v>
                </c:pt>
                <c:pt idx="186">
                  <c:v>13906280237.419428</c:v>
                </c:pt>
                <c:pt idx="187">
                  <c:v>13908504178.313217</c:v>
                </c:pt>
                <c:pt idx="188">
                  <c:v>13910701085.930542</c:v>
                </c:pt>
                <c:pt idx="189">
                  <c:v>13912871489.338612</c:v>
                </c:pt>
                <c:pt idx="190">
                  <c:v>13915015903.627863</c:v>
                </c:pt>
                <c:pt idx="191">
                  <c:v>13917134830.386427</c:v>
                </c:pt>
                <c:pt idx="192">
                  <c:v>13919228758.155369</c:v>
                </c:pt>
                <c:pt idx="193">
                  <c:v>13921298162.865658</c:v>
                </c:pt>
                <c:pt idx="194">
                  <c:v>13923343508.257721</c:v>
                </c:pt>
                <c:pt idx="195">
                  <c:v>13925365246.284437</c:v>
                </c:pt>
                <c:pt idx="196">
                  <c:v>13927363817.498335</c:v>
                </c:pt>
                <c:pt idx="197">
                  <c:v>13929339651.423765</c:v>
                </c:pt>
                <c:pt idx="198">
                  <c:v>13931293166.91474</c:v>
                </c:pt>
                <c:pt idx="199">
                  <c:v>13933224772.499107</c:v>
                </c:pt>
                <c:pt idx="200">
                  <c:v>13935134866.709719</c:v>
                </c:pt>
                <c:pt idx="201">
                  <c:v>13937023838.40316</c:v>
                </c:pt>
                <c:pt idx="202">
                  <c:v>13938892067.066652</c:v>
                </c:pt>
                <c:pt idx="203">
                  <c:v>13940739923.113653</c:v>
                </c:pt>
                <c:pt idx="204">
                  <c:v>13942567768.168671</c:v>
                </c:pt>
                <c:pt idx="205">
                  <c:v>13944375955.341803</c:v>
                </c:pt>
                <c:pt idx="206">
                  <c:v>13946164829.49345</c:v>
                </c:pt>
                <c:pt idx="207">
                  <c:v>13947934727.489679</c:v>
                </c:pt>
                <c:pt idx="208">
                  <c:v>13949685978.448633</c:v>
                </c:pt>
                <c:pt idx="209">
                  <c:v>13951418903.97842</c:v>
                </c:pt>
                <c:pt idx="210">
                  <c:v>13953133818.406866</c:v>
                </c:pt>
                <c:pt idx="211">
                  <c:v>13954831029.003502</c:v>
                </c:pt>
                <c:pt idx="212">
                  <c:v>13956510836.194143</c:v>
                </c:pt>
                <c:pt idx="213">
                  <c:v>13958173533.768414</c:v>
                </c:pt>
                <c:pt idx="214">
                  <c:v>13959819409.08054</c:v>
                </c:pt>
                <c:pt idx="215">
                  <c:v>13961448743.243731</c:v>
                </c:pt>
                <c:pt idx="216">
                  <c:v>13963061811.318451</c:v>
                </c:pt>
                <c:pt idx="217">
                  <c:v>13964658882.494894</c:v>
                </c:pt>
                <c:pt idx="218">
                  <c:v>13966240220.269922</c:v>
                </c:pt>
                <c:pt idx="219">
                  <c:v>13967806082.618774</c:v>
                </c:pt>
                <c:pt idx="220">
                  <c:v>13969356722.161795</c:v>
                </c:pt>
                <c:pt idx="221">
                  <c:v>13970892386.32646</c:v>
                </c:pt>
                <c:pt idx="222">
                  <c:v>13972413317.504946</c:v>
                </c:pt>
                <c:pt idx="223">
                  <c:v>13973919753.207512</c:v>
                </c:pt>
                <c:pt idx="224">
                  <c:v>13975411926.211933</c:v>
                </c:pt>
                <c:pt idx="225">
                  <c:v>13976890064.709229</c:v>
                </c:pt>
                <c:pt idx="226">
                  <c:v>13978354392.445951</c:v>
                </c:pt>
                <c:pt idx="227">
                  <c:v>13979805128.863268</c:v>
                </c:pt>
                <c:pt idx="228">
                  <c:v>13981242489.233072</c:v>
                </c:pt>
                <c:pt idx="229">
                  <c:v>13982666684.791403</c:v>
                </c:pt>
                <c:pt idx="230">
                  <c:v>13984077922.869394</c:v>
                </c:pt>
                <c:pt idx="231">
                  <c:v>13985476407.022041</c:v>
                </c:pt>
                <c:pt idx="232">
                  <c:v>13986862337.155024</c:v>
                </c:pt>
                <c:pt idx="233">
                  <c:v>13988235909.649889</c:v>
                </c:pt>
                <c:pt idx="234">
                  <c:v>13989597317.487852</c:v>
                </c:pt>
                <c:pt idx="235">
                  <c:v>13990946750.372545</c:v>
                </c:pt>
                <c:pt idx="236">
                  <c:v>13992284394.852011</c:v>
                </c:pt>
                <c:pt idx="237">
                  <c:v>13993610434.440289</c:v>
                </c:pt>
                <c:pt idx="238">
                  <c:v>13994925049.738964</c:v>
                </c:pt>
                <c:pt idx="239">
                  <c:v>13996228418.559053</c:v>
                </c:pt>
                <c:pt idx="240">
                  <c:v>13997520716.043667</c:v>
                </c:pt>
                <c:pt idx="241">
                  <c:v>13998802114.791903</c:v>
                </c:pt>
                <c:pt idx="242">
                  <c:v>14000072784.984491</c:v>
                </c:pt>
                <c:pt idx="243">
                  <c:v>14001332894.511742</c:v>
                </c:pt>
                <c:pt idx="244">
                  <c:v>14002582609.10442</c:v>
                </c:pt>
                <c:pt idx="245">
                  <c:v>14003822092.468267</c:v>
                </c:pt>
                <c:pt idx="246">
                  <c:v>14005051506.422935</c:v>
                </c:pt>
                <c:pt idx="247">
                  <c:v>14006271011.046215</c:v>
                </c:pt>
                <c:pt idx="248">
                  <c:v>14007480764.824593</c:v>
                </c:pt>
                <c:pt idx="249">
                  <c:v>14008680924.811256</c:v>
                </c:pt>
                <c:pt idx="250">
                  <c:v>14009871646.792871</c:v>
                </c:pt>
                <c:pt idx="251">
                  <c:v>14011053085.46664</c:v>
                </c:pt>
                <c:pt idx="252">
                  <c:v>14012225394.629387</c:v>
                </c:pt>
                <c:pt idx="253">
                  <c:v>14013388727.380695</c:v>
                </c:pt>
                <c:pt idx="254">
                  <c:v>14014543236.342457</c:v>
                </c:pt>
                <c:pt idx="255">
                  <c:v>14015689073.897604</c:v>
                </c:pt>
                <c:pt idx="256">
                  <c:v>14016826392.45126</c:v>
                </c:pt>
                <c:pt idx="257">
                  <c:v>14017955344.718172</c:v>
                </c:pt>
                <c:pt idx="258">
                  <c:v>14019076084.040985</c:v>
                </c:pt>
                <c:pt idx="259">
                  <c:v>14020188764.744778</c:v>
                </c:pt>
                <c:pt idx="260">
                  <c:v>14021293542.534426</c:v>
                </c:pt>
                <c:pt idx="261">
                  <c:v>14022390574.942638</c:v>
                </c:pt>
                <c:pt idx="262">
                  <c:v>14023480021.838207</c:v>
                </c:pt>
                <c:pt idx="263">
                  <c:v>14024562046.006102</c:v>
                </c:pt>
                <c:pt idx="264">
                  <c:v>14025636813.813673</c:v>
                </c:pt>
                <c:pt idx="265">
                  <c:v>14026704495.980539</c:v>
                </c:pt>
                <c:pt idx="266">
                  <c:v>14027765268.474037</c:v>
                </c:pt>
                <c:pt idx="267">
                  <c:v>14028819313.557571</c:v>
                </c:pt>
                <c:pt idx="268">
                  <c:v>14029866821.026344</c:v>
                </c:pt>
                <c:pt idx="269">
                  <c:v>14030907989.674273</c:v>
                </c:pt>
                <c:pt idx="270">
                  <c:v>14031943029.048254</c:v>
                </c:pt>
                <c:pt idx="271">
                  <c:v>14032972161.562426</c:v>
                </c:pt>
                <c:pt idx="272">
                  <c:v>14033995625.067324</c:v>
                </c:pt>
                <c:pt idx="273">
                  <c:v>14035013675.999294</c:v>
                </c:pt>
                <c:pt idx="274">
                  <c:v>14036026593.277586</c:v>
                </c:pt>
                <c:pt idx="275">
                  <c:v>14037034683.175695</c:v>
                </c:pt>
                <c:pt idx="276">
                  <c:v>14038038285.477688</c:v>
                </c:pt>
                <c:pt idx="277">
                  <c:v>14039037781.352203</c:v>
                </c:pt>
                <c:pt idx="278">
                  <c:v>14040033603.556747</c:v>
                </c:pt>
                <c:pt idx="279">
                  <c:v>14041026249.855644</c:v>
                </c:pt>
                <c:pt idx="280">
                  <c:v>14042016300.951721</c:v>
                </c:pt>
                <c:pt idx="281">
                  <c:v>14043004444.889385</c:v>
                </c:pt>
                <c:pt idx="282">
                  <c:v>14043991510.953888</c:v>
                </c:pt>
                <c:pt idx="283">
                  <c:v>14044978517.879482</c:v>
                </c:pt>
                <c:pt idx="284">
                  <c:v>14045966744.285881</c:v>
                </c:pt>
                <c:pt idx="285">
                  <c:v>14046957834.893026</c:v>
                </c:pt>
                <c:pt idx="286">
                  <c:v>14047953966.785566</c:v>
                </c:pt>
                <c:pt idx="287">
                  <c:v>14048958121.646427</c:v>
                </c:pt>
                <c:pt idx="288">
                  <c:v>14049974556.805889</c:v>
                </c:pt>
                <c:pt idx="289">
                  <c:v>14051009679.028913</c:v>
                </c:pt>
                <c:pt idx="290">
                  <c:v>14052073819.127605</c:v>
                </c:pt>
                <c:pt idx="291">
                  <c:v>14053185310.147284</c:v>
                </c:pt>
                <c:pt idx="292">
                  <c:v>14054381710.584339</c:v>
                </c:pt>
                <c:pt idx="293">
                  <c:v>14055761264.470882</c:v>
                </c:pt>
                <c:pt idx="294">
                  <c:v>14057765992.639334</c:v>
                </c:pt>
                <c:pt idx="295">
                  <c:v>14051356629.079062</c:v>
                </c:pt>
                <c:pt idx="296">
                  <c:v>14052089312.748413</c:v>
                </c:pt>
                <c:pt idx="297">
                  <c:v>14052857861.312956</c:v>
                </c:pt>
                <c:pt idx="298">
                  <c:v>14053635715.01935</c:v>
                </c:pt>
                <c:pt idx="299">
                  <c:v>14054415717.467489</c:v>
                </c:pt>
                <c:pt idx="300">
                  <c:v>14055194946.073441</c:v>
                </c:pt>
                <c:pt idx="301">
                  <c:v>14055971941.590281</c:v>
                </c:pt>
                <c:pt idx="302">
                  <c:v>14056745884.536945</c:v>
                </c:pt>
                <c:pt idx="303">
                  <c:v>14057516279.199146</c:v>
                </c:pt>
                <c:pt idx="304">
                  <c:v>14058282811.057104</c:v>
                </c:pt>
                <c:pt idx="305">
                  <c:v>14059045274.73979</c:v>
                </c:pt>
                <c:pt idx="306">
                  <c:v>14059803534.419348</c:v>
                </c:pt>
                <c:pt idx="307">
                  <c:v>14060557500.57119</c:v>
                </c:pt>
                <c:pt idx="308">
                  <c:v>14061307115.607897</c:v>
                </c:pt>
                <c:pt idx="309">
                  <c:v>14062052344.612125</c:v>
                </c:pt>
                <c:pt idx="310">
                  <c:v>14062793169.142761</c:v>
                </c:pt>
                <c:pt idx="311">
                  <c:v>14063529582.969032</c:v>
                </c:pt>
                <c:pt idx="312">
                  <c:v>14064261589.05599</c:v>
                </c:pt>
                <c:pt idx="313">
                  <c:v>14064989197.386414</c:v>
                </c:pt>
                <c:pt idx="314">
                  <c:v>14065712423.356262</c:v>
                </c:pt>
                <c:pt idx="315">
                  <c:v>14066431286.572325</c:v>
                </c:pt>
                <c:pt idx="316">
                  <c:v>14067145809.937613</c:v>
                </c:pt>
                <c:pt idx="317">
                  <c:v>14067856018.946257</c:v>
                </c:pt>
                <c:pt idx="318">
                  <c:v>14068561941.133421</c:v>
                </c:pt>
                <c:pt idx="319">
                  <c:v>14069263605.641558</c:v>
                </c:pt>
                <c:pt idx="320">
                  <c:v>14069961042.875132</c:v>
                </c:pt>
                <c:pt idx="321">
                  <c:v>14070654284.223396</c:v>
                </c:pt>
                <c:pt idx="322">
                  <c:v>14071343361.836132</c:v>
                </c:pt>
                <c:pt idx="323">
                  <c:v>14072028308.440948</c:v>
                </c:pt>
                <c:pt idx="324">
                  <c:v>14072709157.193575</c:v>
                </c:pt>
                <c:pt idx="325">
                  <c:v>14073385941.554483</c:v>
                </c:pt>
                <c:pt idx="326">
                  <c:v>14074058695.186754</c:v>
                </c:pt>
                <c:pt idx="327">
                  <c:v>14074727451.871161</c:v>
                </c:pt>
                <c:pt idx="328">
                  <c:v>14075392245.435322</c:v>
                </c:pt>
                <c:pt idx="329">
                  <c:v>14076053109.694422</c:v>
                </c:pt>
                <c:pt idx="330">
                  <c:v>14076710078.40148</c:v>
                </c:pt>
                <c:pt idx="331">
                  <c:v>14077363185.205561</c:v>
                </c:pt>
                <c:pt idx="332">
                  <c:v>14078012463.616621</c:v>
                </c:pt>
                <c:pt idx="333">
                  <c:v>14078657946.975908</c:v>
                </c:pt>
                <c:pt idx="334">
                  <c:v>14079299668.431049</c:v>
                </c:pt>
                <c:pt idx="335">
                  <c:v>14079937660.915102</c:v>
                </c:pt>
                <c:pt idx="336">
                  <c:v>14080571957.128969</c:v>
                </c:pt>
                <c:pt idx="337">
                  <c:v>14081202589.526678</c:v>
                </c:pt>
                <c:pt idx="338">
                  <c:v>14081829590.303104</c:v>
                </c:pt>
                <c:pt idx="339">
                  <c:v>14082452991.383791</c:v>
                </c:pt>
                <c:pt idx="340">
                  <c:v>14083072824.416578</c:v>
                </c:pt>
                <c:pt idx="341">
                  <c:v>14083689120.764772</c:v>
                </c:pt>
                <c:pt idx="342">
                  <c:v>14084301911.501663</c:v>
                </c:pt>
                <c:pt idx="343">
                  <c:v>14084911227.406195</c:v>
                </c:pt>
                <c:pt idx="344">
                  <c:v>14085517098.959633</c:v>
                </c:pt>
                <c:pt idx="345">
                  <c:v>14086119556.343111</c:v>
                </c:pt>
                <c:pt idx="346">
                  <c:v>14086718629.43593</c:v>
                </c:pt>
                <c:pt idx="347">
                  <c:v>14087314347.814508</c:v>
                </c:pt>
                <c:pt idx="348">
                  <c:v>14087906740.751902</c:v>
                </c:pt>
                <c:pt idx="349">
                  <c:v>14088495837.217833</c:v>
                </c:pt>
                <c:pt idx="350">
                  <c:v>14089081665.879139</c:v>
                </c:pt>
                <c:pt idx="351">
                  <c:v>14089664255.100605</c:v>
                </c:pt>
                <c:pt idx="352">
                  <c:v>14090243632.946117</c:v>
                </c:pt>
                <c:pt idx="353">
                  <c:v>14090819827.180107</c:v>
                </c:pt>
                <c:pt idx="354">
                  <c:v>14091392865.269243</c:v>
                </c:pt>
                <c:pt idx="355">
                  <c:v>14091962774.384333</c:v>
                </c:pt>
                <c:pt idx="356">
                  <c:v>14092529581.402407</c:v>
                </c:pt>
                <c:pt idx="357">
                  <c:v>14093093312.908976</c:v>
                </c:pt>
                <c:pt idx="358">
                  <c:v>14093653995.200413</c:v>
                </c:pt>
                <c:pt idx="359">
                  <c:v>14094211654.286461</c:v>
                </c:pt>
                <c:pt idx="360">
                  <c:v>14094766315.89283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81-4AE9-98B6-02DDD7132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840623"/>
        <c:axId val="1"/>
      </c:scatterChart>
      <c:valAx>
        <c:axId val="2102840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840623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50800</xdr:colOff>
      <xdr:row>6</xdr:row>
      <xdr:rowOff>25400</xdr:rowOff>
    </xdr:from>
    <xdr:to>
      <xdr:col>23</xdr:col>
      <xdr:colOff>349250</xdr:colOff>
      <xdr:row>21</xdr:row>
      <xdr:rowOff>12700</xdr:rowOff>
    </xdr:to>
    <xdr:graphicFrame macro="">
      <xdr:nvGraphicFramePr>
        <xdr:cNvPr id="1030" name="Chart 1">
          <a:extLst>
            <a:ext uri="{FF2B5EF4-FFF2-40B4-BE49-F238E27FC236}">
              <a16:creationId xmlns:a16="http://schemas.microsoft.com/office/drawing/2014/main" id="{F20542D9-4211-3564-9FE0-99B7DADE34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165100</xdr:colOff>
      <xdr:row>10</xdr:row>
      <xdr:rowOff>95250</xdr:rowOff>
    </xdr:from>
    <xdr:to>
      <xdr:col>13</xdr:col>
      <xdr:colOff>438150</xdr:colOff>
      <xdr:row>24</xdr:row>
      <xdr:rowOff>165100</xdr:rowOff>
    </xdr:to>
    <xdr:graphicFrame macro="">
      <xdr:nvGraphicFramePr>
        <xdr:cNvPr id="3078" name="Chart 2">
          <a:extLst>
            <a:ext uri="{FF2B5EF4-FFF2-40B4-BE49-F238E27FC236}">
              <a16:creationId xmlns:a16="http://schemas.microsoft.com/office/drawing/2014/main" id="{08ED4BE2-EEC1-0DF7-0DCA-517C837D5D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53999-9834-44DB-976E-6C3C7BFFA72E}">
  <dimension ref="A1:M424"/>
  <sheetViews>
    <sheetView zoomScale="56" workbookViewId="0">
      <selection activeCell="F4" sqref="F4"/>
    </sheetView>
  </sheetViews>
  <sheetFormatPr defaultRowHeight="14.5" x14ac:dyDescent="0.35"/>
  <cols>
    <col min="4" max="4" width="10.36328125" customWidth="1"/>
    <col min="5" max="5" width="13.6328125" customWidth="1"/>
    <col min="6" max="6" width="13.36328125" customWidth="1"/>
  </cols>
  <sheetData>
    <row r="1" spans="1:13" x14ac:dyDescent="0.35">
      <c r="A1" t="s">
        <v>8</v>
      </c>
      <c r="B1" t="s">
        <v>12</v>
      </c>
      <c r="C1" t="s">
        <v>10</v>
      </c>
      <c r="D1" t="s">
        <v>9</v>
      </c>
      <c r="E1" t="s">
        <v>11</v>
      </c>
      <c r="F1" t="s">
        <v>13</v>
      </c>
      <c r="L1" t="s">
        <v>0</v>
      </c>
      <c r="M1">
        <v>0.38469999999999999</v>
      </c>
    </row>
    <row r="2" spans="1:13" x14ac:dyDescent="0.35">
      <c r="A2">
        <v>0</v>
      </c>
      <c r="B2">
        <f t="shared" ref="B2:B65" si="0">$M$3*A2^$M$4</f>
        <v>0</v>
      </c>
      <c r="C2" s="1">
        <f t="shared" ref="C2:C65" si="1">$M$7*A2*B2^$M$8</f>
        <v>0</v>
      </c>
      <c r="D2" s="1">
        <f t="shared" ref="D2:D65" si="2">$M$1*A2*(1-A2/$M$2)-C2</f>
        <v>0</v>
      </c>
      <c r="E2" s="1">
        <f t="shared" ref="E2:E65" si="3">$M$5*C2-$M$6*B2</f>
        <v>0</v>
      </c>
      <c r="F2" s="1">
        <v>0</v>
      </c>
      <c r="L2" t="s">
        <v>1</v>
      </c>
      <c r="M2" s="1">
        <v>359000000</v>
      </c>
    </row>
    <row r="3" spans="1:13" x14ac:dyDescent="0.35">
      <c r="A3" s="1">
        <f>A2+1000000</f>
        <v>1000000</v>
      </c>
      <c r="B3">
        <f t="shared" si="0"/>
        <v>8415.882287713448</v>
      </c>
      <c r="C3" s="1">
        <f t="shared" si="1"/>
        <v>43282.613158764914</v>
      </c>
      <c r="D3" s="1">
        <f t="shared" si="2"/>
        <v>340345.79909750255</v>
      </c>
      <c r="E3" s="1">
        <f t="shared" si="3"/>
        <v>-1170766.9344914923</v>
      </c>
      <c r="F3" s="1">
        <f t="shared" ref="F3:F66" si="4">F4+($M$9*F4-E3)/D3*(A3-A4)</f>
        <v>729570448.05654895</v>
      </c>
      <c r="L3" t="s">
        <v>2</v>
      </c>
      <c r="M3">
        <v>0.157</v>
      </c>
    </row>
    <row r="4" spans="1:13" x14ac:dyDescent="0.35">
      <c r="A4" s="1">
        <f t="shared" ref="A4:A67" si="5">A3+1000000</f>
        <v>2000000</v>
      </c>
      <c r="B4">
        <f t="shared" si="0"/>
        <v>14533.542835778277</v>
      </c>
      <c r="C4" s="1">
        <f t="shared" si="1"/>
        <v>116525.06427405264</v>
      </c>
      <c r="D4" s="1">
        <f t="shared" si="2"/>
        <v>648588.58475101704</v>
      </c>
      <c r="E4" s="1">
        <f t="shared" si="3"/>
        <v>-1909014.3803341342</v>
      </c>
      <c r="F4" s="1">
        <f t="shared" si="4"/>
        <v>778774077.19739807</v>
      </c>
      <c r="L4" t="s">
        <v>3</v>
      </c>
      <c r="M4">
        <v>0.78820000000000001</v>
      </c>
    </row>
    <row r="5" spans="1:13" x14ac:dyDescent="0.35">
      <c r="A5" s="1">
        <f t="shared" si="5"/>
        <v>3000000</v>
      </c>
      <c r="B5">
        <f t="shared" si="0"/>
        <v>20006.293020758894</v>
      </c>
      <c r="C5" s="1">
        <f t="shared" si="1"/>
        <v>207976.92902153821</v>
      </c>
      <c r="D5" s="1">
        <f t="shared" si="2"/>
        <v>936478.78128486848</v>
      </c>
      <c r="E5" s="1">
        <f t="shared" si="3"/>
        <v>-2499425.1238179575</v>
      </c>
      <c r="F5" s="1">
        <f t="shared" si="4"/>
        <v>806589561.51963985</v>
      </c>
      <c r="L5" t="s">
        <v>4</v>
      </c>
      <c r="M5">
        <v>2.7</v>
      </c>
    </row>
    <row r="6" spans="1:13" x14ac:dyDescent="0.35">
      <c r="A6" s="1">
        <f t="shared" si="5"/>
        <v>4000000</v>
      </c>
      <c r="B6">
        <f t="shared" si="0"/>
        <v>25098.24402698371</v>
      </c>
      <c r="C6" s="1">
        <f t="shared" si="1"/>
        <v>313707.73650533363</v>
      </c>
      <c r="D6" s="1">
        <f t="shared" si="2"/>
        <v>1207946.8595949449</v>
      </c>
      <c r="E6" s="1">
        <f t="shared" si="3"/>
        <v>-2993020.4475641069</v>
      </c>
      <c r="F6" s="1">
        <f t="shared" si="4"/>
        <v>826918691.59299576</v>
      </c>
      <c r="L6" t="s">
        <v>5</v>
      </c>
      <c r="M6">
        <v>153</v>
      </c>
    </row>
    <row r="7" spans="1:13" x14ac:dyDescent="0.35">
      <c r="A7" s="1">
        <f t="shared" si="5"/>
        <v>5000000</v>
      </c>
      <c r="B7">
        <f t="shared" si="0"/>
        <v>29924.562508914794</v>
      </c>
      <c r="C7" s="1">
        <f t="shared" si="1"/>
        <v>431507.54624376749</v>
      </c>
      <c r="D7" s="1">
        <f t="shared" si="2"/>
        <v>1465202.7601629177</v>
      </c>
      <c r="E7" s="1">
        <f t="shared" si="3"/>
        <v>-3413387.6890057912</v>
      </c>
      <c r="F7" s="1">
        <f t="shared" si="4"/>
        <v>843359994.60387599</v>
      </c>
      <c r="L7" t="s">
        <v>6</v>
      </c>
      <c r="M7" s="1">
        <v>3.1700000000000001E-4</v>
      </c>
    </row>
    <row r="8" spans="1:13" x14ac:dyDescent="0.35">
      <c r="A8" s="1">
        <f t="shared" si="5"/>
        <v>6000000</v>
      </c>
      <c r="B8">
        <f t="shared" si="0"/>
        <v>34549.237579858069</v>
      </c>
      <c r="C8" s="1">
        <f t="shared" si="1"/>
        <v>559913.62935643934</v>
      </c>
      <c r="D8" s="1">
        <f t="shared" si="2"/>
        <v>1709709.2118691877</v>
      </c>
      <c r="E8" s="1">
        <f t="shared" si="3"/>
        <v>-3774266.5504558985</v>
      </c>
      <c r="F8" s="1">
        <f t="shared" si="4"/>
        <v>857393034.216115</v>
      </c>
      <c r="L8" t="s">
        <v>7</v>
      </c>
      <c r="M8">
        <v>0.54400000000000004</v>
      </c>
    </row>
    <row r="9" spans="1:13" x14ac:dyDescent="0.35">
      <c r="A9" s="1">
        <f t="shared" si="5"/>
        <v>7000000</v>
      </c>
      <c r="B9">
        <f t="shared" si="0"/>
        <v>39012.69276357851</v>
      </c>
      <c r="C9" s="1">
        <f t="shared" si="1"/>
        <v>697868.06773188815</v>
      </c>
      <c r="D9" s="1">
        <f t="shared" si="2"/>
        <v>1942524.1328252149</v>
      </c>
      <c r="E9" s="1">
        <f t="shared" si="3"/>
        <v>-4084698.2099514143</v>
      </c>
      <c r="F9" s="1">
        <f t="shared" si="4"/>
        <v>869775121.67105269</v>
      </c>
      <c r="L9" t="s">
        <v>14</v>
      </c>
      <c r="M9">
        <v>0.02</v>
      </c>
    </row>
    <row r="10" spans="1:13" x14ac:dyDescent="0.35">
      <c r="A10" s="1">
        <f t="shared" si="5"/>
        <v>8000000</v>
      </c>
      <c r="B10">
        <f t="shared" si="0"/>
        <v>43342.621985280784</v>
      </c>
      <c r="C10" s="1">
        <f t="shared" si="1"/>
        <v>844561.16421309684</v>
      </c>
      <c r="D10" s="1">
        <f t="shared" si="2"/>
        <v>2164457.2201880175</v>
      </c>
      <c r="E10" s="1">
        <f t="shared" si="3"/>
        <v>-4351106.0203725975</v>
      </c>
      <c r="F10" s="1">
        <f t="shared" si="4"/>
        <v>880948037.67071116</v>
      </c>
    </row>
    <row r="11" spans="1:13" x14ac:dyDescent="0.35">
      <c r="A11" s="1">
        <f t="shared" si="5"/>
        <v>9000000</v>
      </c>
      <c r="B11">
        <f t="shared" si="0"/>
        <v>47559.096806380316</v>
      </c>
      <c r="C11" s="1">
        <f t="shared" si="1"/>
        <v>999348.23358674056</v>
      </c>
      <c r="D11" s="1">
        <f t="shared" si="2"/>
        <v>2376153.1591709196</v>
      </c>
      <c r="E11" s="1">
        <f t="shared" si="3"/>
        <v>-4578301.5806919876</v>
      </c>
      <c r="F11" s="1">
        <f t="shared" si="4"/>
        <v>891193085.49305034</v>
      </c>
    </row>
    <row r="12" spans="1:13" x14ac:dyDescent="0.35">
      <c r="A12" s="1">
        <f t="shared" si="5"/>
        <v>10000000</v>
      </c>
      <c r="B12">
        <f t="shared" si="0"/>
        <v>51677.280669689666</v>
      </c>
      <c r="C12" s="1">
        <f t="shared" si="1"/>
        <v>1161700.7590636099</v>
      </c>
      <c r="D12" s="1">
        <f t="shared" si="2"/>
        <v>2578140.4665631312</v>
      </c>
      <c r="E12" s="1">
        <f t="shared" si="3"/>
        <v>-4770031.8929907717</v>
      </c>
      <c r="F12" s="1">
        <f t="shared" si="4"/>
        <v>900701025.67230248</v>
      </c>
    </row>
    <row r="13" spans="1:13" x14ac:dyDescent="0.35">
      <c r="A13" s="1">
        <f t="shared" si="5"/>
        <v>11000000</v>
      </c>
      <c r="B13">
        <f t="shared" si="0"/>
        <v>55709.00052468176</v>
      </c>
      <c r="C13" s="1">
        <f t="shared" si="1"/>
        <v>1331175.5950796378</v>
      </c>
      <c r="D13" s="1">
        <f t="shared" si="2"/>
        <v>2770862.2879287191</v>
      </c>
      <c r="E13" s="1">
        <f t="shared" si="3"/>
        <v>-4929302.973561286</v>
      </c>
      <c r="F13" s="1">
        <f t="shared" si="4"/>
        <v>909607515.64196682</v>
      </c>
    </row>
    <row r="14" spans="1:13" x14ac:dyDescent="0.35">
      <c r="A14" s="1">
        <f t="shared" si="5"/>
        <v>12000000</v>
      </c>
      <c r="B14">
        <f t="shared" si="0"/>
        <v>59663.717616798087</v>
      </c>
      <c r="C14" s="1">
        <f t="shared" si="1"/>
        <v>1507394.4682904396</v>
      </c>
      <c r="D14" s="1">
        <f t="shared" si="2"/>
        <v>2954696.8966120668</v>
      </c>
      <c r="E14" s="1">
        <f t="shared" si="3"/>
        <v>-5058583.7309859209</v>
      </c>
      <c r="F14" s="1">
        <f t="shared" si="4"/>
        <v>918012681.31960237</v>
      </c>
    </row>
    <row r="15" spans="1:13" x14ac:dyDescent="0.35">
      <c r="A15" s="1">
        <f t="shared" si="5"/>
        <v>13000000</v>
      </c>
      <c r="B15">
        <f t="shared" si="0"/>
        <v>63549.158291365435</v>
      </c>
      <c r="C15" s="1">
        <f t="shared" si="1"/>
        <v>1690029.7403526586</v>
      </c>
      <c r="D15" s="1">
        <f t="shared" si="2"/>
        <v>3129971.9309565332</v>
      </c>
      <c r="E15" s="1">
        <f t="shared" si="3"/>
        <v>-5159940.9196267342</v>
      </c>
      <c r="F15" s="1">
        <f t="shared" si="4"/>
        <v>925992666.36828446</v>
      </c>
    </row>
    <row r="16" spans="1:13" x14ac:dyDescent="0.35">
      <c r="A16" s="1">
        <f t="shared" si="5"/>
        <v>14000000</v>
      </c>
      <c r="B16">
        <f t="shared" si="0"/>
        <v>67371.740957723683</v>
      </c>
      <c r="C16" s="1">
        <f t="shared" si="1"/>
        <v>1878794.1742098748</v>
      </c>
      <c r="D16" s="1">
        <f t="shared" si="2"/>
        <v>3296974.6280185375</v>
      </c>
      <c r="E16" s="1">
        <f t="shared" si="3"/>
        <v>-5235132.0961650619</v>
      </c>
      <c r="F16" s="1">
        <f t="shared" si="4"/>
        <v>933606816.84060371</v>
      </c>
    </row>
    <row r="17" spans="1:6" x14ac:dyDescent="0.35">
      <c r="A17" s="1">
        <f t="shared" si="5"/>
        <v>15000000</v>
      </c>
      <c r="B17">
        <f t="shared" si="0"/>
        <v>71136.874970957258</v>
      </c>
      <c r="C17" s="1">
        <f t="shared" si="1"/>
        <v>2073433.3666086595</v>
      </c>
      <c r="D17" s="1">
        <f t="shared" si="2"/>
        <v>3455959.3910515076</v>
      </c>
      <c r="E17" s="1">
        <f t="shared" si="3"/>
        <v>-5285671.7807130795</v>
      </c>
      <c r="F17" s="1">
        <f t="shared" si="4"/>
        <v>940902347.36701274</v>
      </c>
    </row>
    <row r="18" spans="1:6" x14ac:dyDescent="0.35">
      <c r="A18" s="1">
        <f t="shared" si="5"/>
        <v>16000000</v>
      </c>
      <c r="B18">
        <f t="shared" si="0"/>
        <v>74849.175844303536</v>
      </c>
      <c r="C18" s="1">
        <f t="shared" si="1"/>
        <v>2273720.0173730929</v>
      </c>
      <c r="D18" s="1">
        <f t="shared" si="2"/>
        <v>3607153.5202313638</v>
      </c>
      <c r="E18" s="1">
        <f t="shared" si="3"/>
        <v>-5312879.8572710892</v>
      </c>
      <c r="F18" s="1">
        <f t="shared" si="4"/>
        <v>947917482.29288769</v>
      </c>
    </row>
    <row r="19" spans="1:6" x14ac:dyDescent="0.35">
      <c r="A19" s="1">
        <f t="shared" si="5"/>
        <v>17000000</v>
      </c>
      <c r="B19">
        <f t="shared" si="0"/>
        <v>78512.623985160186</v>
      </c>
      <c r="C19" s="1">
        <f t="shared" si="1"/>
        <v>2479449.5006687641</v>
      </c>
      <c r="D19" s="1">
        <f t="shared" si="2"/>
        <v>3750761.6413925178</v>
      </c>
      <c r="E19" s="1">
        <f t="shared" si="3"/>
        <v>-5317917.8179238457</v>
      </c>
      <c r="F19" s="1">
        <f t="shared" si="4"/>
        <v>954683635.27915955</v>
      </c>
    </row>
    <row r="20" spans="1:6" x14ac:dyDescent="0.35">
      <c r="A20" s="1">
        <f t="shared" si="5"/>
        <v>18000000</v>
      </c>
      <c r="B20">
        <f t="shared" si="0"/>
        <v>82130.684227316044</v>
      </c>
      <c r="C20" s="1">
        <f t="shared" si="1"/>
        <v>2690436.3820111603</v>
      </c>
      <c r="D20" s="1">
        <f t="shared" si="2"/>
        <v>3886969.1890194807</v>
      </c>
      <c r="E20" s="1">
        <f t="shared" si="3"/>
        <v>-5301816.4553492209</v>
      </c>
      <c r="F20" s="1">
        <f t="shared" si="4"/>
        <v>961226961.51385176</v>
      </c>
    </row>
    <row r="21" spans="1:6" x14ac:dyDescent="0.35">
      <c r="A21" s="1">
        <f t="shared" si="5"/>
        <v>19000000</v>
      </c>
      <c r="B21">
        <f t="shared" si="0"/>
        <v>85706.397482108063</v>
      </c>
      <c r="C21" s="1">
        <f t="shared" si="1"/>
        <v>2906511.6369340466</v>
      </c>
      <c r="D21" s="1">
        <f t="shared" si="2"/>
        <v>4015945.1875784881</v>
      </c>
      <c r="E21" s="1">
        <f t="shared" si="3"/>
        <v>-5265497.3950406061</v>
      </c>
      <c r="F21" s="1">
        <f t="shared" si="4"/>
        <v>967569488.3059634</v>
      </c>
    </row>
    <row r="22" spans="1:6" x14ac:dyDescent="0.35">
      <c r="A22" s="1">
        <f t="shared" si="5"/>
        <v>20000000</v>
      </c>
      <c r="B22">
        <f t="shared" si="0"/>
        <v>89242.452136712047</v>
      </c>
      <c r="C22" s="1">
        <f t="shared" si="1"/>
        <v>3127520.3999481788</v>
      </c>
      <c r="D22" s="1">
        <f t="shared" si="2"/>
        <v>4137844.5025587846</v>
      </c>
      <c r="E22" s="1">
        <f t="shared" si="3"/>
        <v>-5209790.0970568601</v>
      </c>
      <c r="F22" s="1">
        <f t="shared" si="4"/>
        <v>973729954.98045182</v>
      </c>
    </row>
    <row r="23" spans="1:6" x14ac:dyDescent="0.35">
      <c r="A23" s="1">
        <f t="shared" si="5"/>
        <v>21000000</v>
      </c>
      <c r="B23">
        <f t="shared" si="0"/>
        <v>92741.240463458045</v>
      </c>
      <c r="C23" s="1">
        <f t="shared" si="1"/>
        <v>3353320.1208689315</v>
      </c>
      <c r="D23" s="1">
        <f t="shared" si="2"/>
        <v>4252809.6841449961</v>
      </c>
      <c r="E23" s="1">
        <f t="shared" si="3"/>
        <v>-5135445.4645629656</v>
      </c>
      <c r="F23" s="1">
        <f t="shared" si="4"/>
        <v>979724447.77427328</v>
      </c>
    </row>
    <row r="24" spans="1:6" x14ac:dyDescent="0.35">
      <c r="A24" s="1">
        <f t="shared" si="5"/>
        <v>22000000</v>
      </c>
      <c r="B24">
        <f t="shared" si="0"/>
        <v>96204.903750362791</v>
      </c>
      <c r="C24" s="1">
        <f t="shared" si="1"/>
        <v>3583779.0386575479</v>
      </c>
      <c r="D24" s="1">
        <f t="shared" si="2"/>
        <v>4360972.4933758788</v>
      </c>
      <c r="E24" s="1">
        <f t="shared" si="3"/>
        <v>-5043146.8694301266</v>
      </c>
      <c r="F24" s="1">
        <f t="shared" si="4"/>
        <v>985566887.25665307</v>
      </c>
    </row>
    <row r="25" spans="1:6" x14ac:dyDescent="0.35">
      <c r="A25" s="1">
        <f t="shared" si="5"/>
        <v>23000000</v>
      </c>
      <c r="B25">
        <f t="shared" si="0"/>
        <v>99635.368817796931</v>
      </c>
      <c r="C25" s="1">
        <f t="shared" si="1"/>
        <v>3818774.905974166</v>
      </c>
      <c r="D25" s="1">
        <f t="shared" si="2"/>
        <v>4462455.1775912941</v>
      </c>
      <c r="E25" s="1">
        <f t="shared" si="3"/>
        <v>-4933519.1829926819</v>
      </c>
      <c r="F25" s="1">
        <f t="shared" si="4"/>
        <v>991269407.75231099</v>
      </c>
    </row>
    <row r="26" spans="1:6" x14ac:dyDescent="0.35">
      <c r="A26" s="1">
        <f t="shared" si="5"/>
        <v>24000000</v>
      </c>
      <c r="B26">
        <f t="shared" si="0"/>
        <v>103034.37786807565</v>
      </c>
      <c r="C26" s="1">
        <f t="shared" si="1"/>
        <v>4058193.9140226105</v>
      </c>
      <c r="D26" s="1">
        <f t="shared" si="2"/>
        <v>4557371.5455874177</v>
      </c>
      <c r="E26" s="1">
        <f t="shared" si="3"/>
        <v>-4807136.2459545266</v>
      </c>
      <c r="F26" s="1">
        <f t="shared" si="4"/>
        <v>996842656.4061023</v>
      </c>
    </row>
    <row r="27" spans="1:6" x14ac:dyDescent="0.35">
      <c r="A27" s="1">
        <f t="shared" si="5"/>
        <v>25000000</v>
      </c>
      <c r="B27">
        <f t="shared" si="0"/>
        <v>106403.51311202167</v>
      </c>
      <c r="C27" s="1">
        <f t="shared" si="1"/>
        <v>4301929.7791083353</v>
      </c>
      <c r="D27" s="1">
        <f t="shared" si="2"/>
        <v>4645827.8810587944</v>
      </c>
      <c r="E27" s="1">
        <f t="shared" si="3"/>
        <v>-4664527.1025468092</v>
      </c>
      <c r="F27" s="1">
        <f t="shared" si="4"/>
        <v>1002296031.5871892</v>
      </c>
    </row>
    <row r="28" spans="1:6" x14ac:dyDescent="0.35">
      <c r="A28" s="1">
        <f t="shared" si="5"/>
        <v>26000000</v>
      </c>
      <c r="B28">
        <f t="shared" si="0"/>
        <v>109744.21725855094</v>
      </c>
      <c r="C28" s="1">
        <f t="shared" si="1"/>
        <v>4549882.9610239239</v>
      </c>
      <c r="D28" s="1">
        <f t="shared" si="2"/>
        <v>4727923.7242128449</v>
      </c>
      <c r="E28" s="1">
        <f t="shared" si="3"/>
        <v>-4506181.2457936965</v>
      </c>
      <c r="F28" s="1">
        <f t="shared" si="4"/>
        <v>1007637874.9003551</v>
      </c>
    </row>
    <row r="29" spans="1:6" x14ac:dyDescent="0.35">
      <c r="A29" s="1">
        <f t="shared" si="5"/>
        <v>27000000</v>
      </c>
      <c r="B29">
        <f t="shared" si="0"/>
        <v>113057.81069445016</v>
      </c>
      <c r="C29" s="1">
        <f t="shared" si="1"/>
        <v>4801959.9898482673</v>
      </c>
      <c r="D29" s="1">
        <f t="shared" si="2"/>
        <v>4803752.5449706744</v>
      </c>
      <c r="E29" s="1">
        <f t="shared" si="3"/>
        <v>-4332553.0636605527</v>
      </c>
      <c r="F29" s="1">
        <f t="shared" si="4"/>
        <v>1012875627.2914952</v>
      </c>
    </row>
    <row r="30" spans="1:6" x14ac:dyDescent="0.35">
      <c r="A30" s="1">
        <f t="shared" si="5"/>
        <v>28000000</v>
      </c>
      <c r="B30">
        <f t="shared" si="0"/>
        <v>116345.50599163224</v>
      </c>
      <c r="C30" s="1">
        <f t="shared" si="1"/>
        <v>5058072.8826255742</v>
      </c>
      <c r="D30" s="1">
        <f t="shared" si="2"/>
        <v>4873402.3262880743</v>
      </c>
      <c r="E30" s="1">
        <f t="shared" si="3"/>
        <v>-4144065.6336306799</v>
      </c>
      <c r="F30" s="1">
        <f t="shared" si="4"/>
        <v>1018015957.05946</v>
      </c>
    </row>
    <row r="31" spans="1:6" x14ac:dyDescent="0.35">
      <c r="A31" s="1">
        <f t="shared" si="5"/>
        <v>29000000</v>
      </c>
      <c r="B31">
        <f t="shared" si="0"/>
        <v>119608.42023808623</v>
      </c>
      <c r="C31" s="1">
        <f t="shared" si="1"/>
        <v>5318138.6351136276</v>
      </c>
      <c r="D31" s="1">
        <f t="shared" si="2"/>
        <v>4936956.0724072633</v>
      </c>
      <c r="E31" s="1">
        <f t="shared" si="3"/>
        <v>-3941113.9816203993</v>
      </c>
      <c r="F31" s="1">
        <f t="shared" si="4"/>
        <v>1023064865.6657163</v>
      </c>
    </row>
    <row r="32" spans="1:6" x14ac:dyDescent="0.35">
      <c r="A32" s="1">
        <f t="shared" si="5"/>
        <v>30000000</v>
      </c>
      <c r="B32">
        <f t="shared" si="0"/>
        <v>122847.58558270025</v>
      </c>
      <c r="C32" s="1">
        <f t="shared" si="1"/>
        <v>5582078.776662604</v>
      </c>
      <c r="D32" s="1">
        <f t="shared" si="2"/>
        <v>4994492.2539780652</v>
      </c>
      <c r="E32" s="1">
        <f t="shared" si="3"/>
        <v>-3724067.8971641082</v>
      </c>
      <c r="F32" s="1">
        <f t="shared" si="4"/>
        <v>1028027775.8352569</v>
      </c>
    </row>
    <row r="33" spans="1:6" x14ac:dyDescent="0.35">
      <c r="A33" s="1">
        <f t="shared" si="5"/>
        <v>31000000</v>
      </c>
      <c r="B33">
        <f t="shared" si="0"/>
        <v>126063.95830349851</v>
      </c>
      <c r="C33" s="1">
        <f t="shared" si="1"/>
        <v>5849818.978522121</v>
      </c>
      <c r="D33" s="1">
        <f t="shared" si="2"/>
        <v>5046085.1997508584</v>
      </c>
      <c r="E33" s="1">
        <f t="shared" si="3"/>
        <v>-3493274.3784255441</v>
      </c>
      <c r="F33" s="1">
        <f t="shared" si="4"/>
        <v>1032909605.411823</v>
      </c>
    </row>
    <row r="34" spans="1:6" x14ac:dyDescent="0.35">
      <c r="A34" s="1">
        <f t="shared" si="5"/>
        <v>32000000</v>
      </c>
      <c r="B34">
        <f t="shared" si="0"/>
        <v>129258.4266469635</v>
      </c>
      <c r="C34" s="1">
        <f t="shared" si="1"/>
        <v>6121288.7076331163</v>
      </c>
      <c r="D34" s="1">
        <f t="shared" si="2"/>
        <v>5091805.4427847108</v>
      </c>
      <c r="E34" s="1">
        <f t="shared" si="3"/>
        <v>-3249059.7663759999</v>
      </c>
      <c r="F34" s="1">
        <f t="shared" si="4"/>
        <v>1037714829.6622713</v>
      </c>
    </row>
    <row r="35" spans="1:6" x14ac:dyDescent="0.35">
      <c r="A35" s="1">
        <f t="shared" si="5"/>
        <v>33000000</v>
      </c>
      <c r="B35">
        <f t="shared" si="0"/>
        <v>132431.81763812483</v>
      </c>
      <c r="C35" s="1">
        <f t="shared" si="1"/>
        <v>6396420.9193551792</v>
      </c>
      <c r="D35" s="1">
        <f t="shared" si="2"/>
        <v>5131720.0277200313</v>
      </c>
      <c r="E35" s="1">
        <f t="shared" si="3"/>
        <v>-2991731.6163741127</v>
      </c>
      <c r="F35" s="1">
        <f t="shared" si="4"/>
        <v>1042447534.145991</v>
      </c>
    </row>
    <row r="36" spans="1:6" x14ac:dyDescent="0.35">
      <c r="A36" s="1">
        <f t="shared" si="5"/>
        <v>34000000</v>
      </c>
      <c r="B36">
        <f t="shared" si="0"/>
        <v>135584.90302360235</v>
      </c>
      <c r="C36" s="1">
        <f t="shared" si="1"/>
        <v>6675151.7836946696</v>
      </c>
      <c r="D36" s="1">
        <f t="shared" si="2"/>
        <v>5165892.7845504563</v>
      </c>
      <c r="E36" s="1">
        <f t="shared" si="3"/>
        <v>-2721580.3466355503</v>
      </c>
      <c r="F36" s="1">
        <f t="shared" si="4"/>
        <v>1047111459.8246294</v>
      </c>
    </row>
    <row r="37" spans="1:6" x14ac:dyDescent="0.35">
      <c r="A37" s="1">
        <f t="shared" si="5"/>
        <v>35000000</v>
      </c>
      <c r="B37">
        <f t="shared" si="0"/>
        <v>138718.40448020093</v>
      </c>
      <c r="C37" s="1">
        <f t="shared" si="1"/>
        <v>6957420.4404958664</v>
      </c>
      <c r="D37" s="1">
        <f t="shared" si="2"/>
        <v>5194384.5734317107</v>
      </c>
      <c r="E37" s="1">
        <f t="shared" si="3"/>
        <v>-2438880.6961319</v>
      </c>
      <c r="F37" s="1">
        <f t="shared" si="4"/>
        <v>1051710041.7488728</v>
      </c>
    </row>
    <row r="38" spans="1:6" x14ac:dyDescent="0.35">
      <c r="A38" s="1">
        <f t="shared" si="5"/>
        <v>36000000</v>
      </c>
      <c r="B38">
        <f t="shared" si="0"/>
        <v>141832.99819819408</v>
      </c>
      <c r="C38" s="1">
        <f t="shared" si="1"/>
        <v>7243168.7797855167</v>
      </c>
      <c r="D38" s="1">
        <f t="shared" si="2"/>
        <v>5217253.5043370454</v>
      </c>
      <c r="E38" s="1">
        <f t="shared" si="3"/>
        <v>-2143893.0189027973</v>
      </c>
      <c r="F38" s="1">
        <f t="shared" si="4"/>
        <v>1056246442.3967167</v>
      </c>
    </row>
    <row r="39" spans="1:6" x14ac:dyDescent="0.35">
      <c r="A39" s="1">
        <f t="shared" si="5"/>
        <v>37000000</v>
      </c>
      <c r="B39">
        <f t="shared" si="0"/>
        <v>144929.31892962049</v>
      </c>
      <c r="C39" s="1">
        <f t="shared" si="1"/>
        <v>7532341.2440545596</v>
      </c>
      <c r="D39" s="1">
        <f t="shared" si="2"/>
        <v>5234555.1347755231</v>
      </c>
      <c r="E39" s="1">
        <f t="shared" si="3"/>
        <v>-1836864.4372846261</v>
      </c>
      <c r="F39" s="1">
        <f t="shared" si="4"/>
        <v>1060723580.5327379</v>
      </c>
    </row>
    <row r="40" spans="1:6" x14ac:dyDescent="0.35">
      <c r="A40" s="1">
        <f t="shared" si="5"/>
        <v>38000000</v>
      </c>
      <c r="B40">
        <f t="shared" si="0"/>
        <v>148007.96357679128</v>
      </c>
      <c r="C40" s="1">
        <f t="shared" si="1"/>
        <v>7824884.649748493</v>
      </c>
      <c r="D40" s="1">
        <f t="shared" si="2"/>
        <v>5246342.6483016461</v>
      </c>
      <c r="E40" s="1">
        <f t="shared" si="3"/>
        <v>-1518029.8729281351</v>
      </c>
      <c r="F40" s="1">
        <f t="shared" si="4"/>
        <v>1065144156.296567</v>
      </c>
    </row>
    <row r="41" spans="1:6" x14ac:dyDescent="0.35">
      <c r="A41" s="1">
        <f t="shared" si="5"/>
        <v>39000000</v>
      </c>
      <c r="B41">
        <f t="shared" si="0"/>
        <v>151069.49438394234</v>
      </c>
      <c r="C41" s="1">
        <f t="shared" si="1"/>
        <v>8120748.0256407801</v>
      </c>
      <c r="D41" s="1">
        <f t="shared" si="2"/>
        <v>5252667.0161419492</v>
      </c>
      <c r="E41" s="1">
        <f t="shared" si="3"/>
        <v>-1187612.9715130702</v>
      </c>
      <c r="F41" s="1">
        <f t="shared" si="4"/>
        <v>1069510673.1008708</v>
      </c>
    </row>
    <row r="42" spans="1:6" x14ac:dyDescent="0.35">
      <c r="A42" s="1">
        <f t="shared" si="5"/>
        <v>40000000</v>
      </c>
      <c r="B42">
        <f t="shared" si="0"/>
        <v>154114.44178494919</v>
      </c>
      <c r="C42" s="1">
        <f t="shared" si="1"/>
        <v>8419882.4660976697</v>
      </c>
      <c r="D42" s="1">
        <f t="shared" si="2"/>
        <v>5253577.1439301856</v>
      </c>
      <c r="E42" s="1">
        <f t="shared" si="3"/>
        <v>-845826.93463351578</v>
      </c>
      <c r="F42" s="1">
        <f t="shared" si="4"/>
        <v>1073825456.8170679</v>
      </c>
    </row>
    <row r="43" spans="1:6" x14ac:dyDescent="0.35">
      <c r="A43" s="1">
        <f t="shared" si="5"/>
        <v>41000000</v>
      </c>
      <c r="B43">
        <f t="shared" si="0"/>
        <v>157143.30695183369</v>
      </c>
      <c r="C43" s="1">
        <f t="shared" si="1"/>
        <v>8722240.9975223467</v>
      </c>
      <c r="D43" s="1">
        <f t="shared" si="2"/>
        <v>5249120.0052631684</v>
      </c>
      <c r="E43" s="1">
        <f t="shared" si="3"/>
        <v>-492875.27032021433</v>
      </c>
      <c r="F43" s="1">
        <f t="shared" si="4"/>
        <v>1078090672.6449962</v>
      </c>
    </row>
    <row r="44" spans="1:6" x14ac:dyDescent="0.35">
      <c r="A44" s="1">
        <f t="shared" si="5"/>
        <v>42000000</v>
      </c>
      <c r="B44">
        <f t="shared" si="0"/>
        <v>160156.56408201615</v>
      </c>
      <c r="C44" s="1">
        <f t="shared" si="1"/>
        <v>9027778.4565001298</v>
      </c>
      <c r="D44" s="1">
        <f t="shared" si="2"/>
        <v>5239340.7635555808</v>
      </c>
      <c r="E44" s="1">
        <f t="shared" si="3"/>
        <v>-128952.47199812159</v>
      </c>
      <c r="F44" s="1">
        <f t="shared" si="4"/>
        <v>1082308339.9964859</v>
      </c>
    </row>
    <row r="45" spans="1:6" x14ac:dyDescent="0.35">
      <c r="A45" s="1">
        <f t="shared" si="5"/>
        <v>43000000</v>
      </c>
      <c r="B45">
        <f t="shared" si="0"/>
        <v>163154.66245667322</v>
      </c>
      <c r="C45" s="1">
        <f t="shared" si="1"/>
        <v>9336451.3783637956</v>
      </c>
      <c r="D45" s="1">
        <f t="shared" si="2"/>
        <v>5224282.8834746443</v>
      </c>
      <c r="E45" s="1">
        <f t="shared" si="3"/>
        <v>245755.36571124569</v>
      </c>
      <c r="F45" s="1">
        <f t="shared" si="4"/>
        <v>1086480345.6689215</v>
      </c>
    </row>
    <row r="46" spans="1:6" x14ac:dyDescent="0.35">
      <c r="A46" s="1">
        <f t="shared" si="5"/>
        <v>44000000</v>
      </c>
      <c r="B46">
        <f t="shared" si="0"/>
        <v>166138.02829788742</v>
      </c>
      <c r="C46" s="1">
        <f t="shared" si="1"/>
        <v>9648217.8950650506</v>
      </c>
      <c r="D46" s="1">
        <f t="shared" si="2"/>
        <v>5203988.2330686543</v>
      </c>
      <c r="E46" s="1">
        <f t="shared" si="3"/>
        <v>631069.98709886149</v>
      </c>
      <c r="F46" s="1">
        <f t="shared" si="4"/>
        <v>1090608455.5408666</v>
      </c>
    </row>
    <row r="47" spans="1:6" x14ac:dyDescent="0.35">
      <c r="A47" s="1">
        <f t="shared" si="5"/>
        <v>45000000</v>
      </c>
      <c r="B47">
        <f t="shared" si="0"/>
        <v>169107.066448375</v>
      </c>
      <c r="C47" s="1">
        <f t="shared" si="1"/>
        <v>9963037.6413798593</v>
      </c>
      <c r="D47" s="1">
        <f t="shared" si="2"/>
        <v>5178497.1775616445</v>
      </c>
      <c r="E47" s="1">
        <f t="shared" si="3"/>
        <v>1026820.4651242457</v>
      </c>
      <c r="F47" s="1">
        <f t="shared" si="4"/>
        <v>1094694324.9856706</v>
      </c>
    </row>
    <row r="48" spans="1:6" x14ac:dyDescent="0.35">
      <c r="A48" s="1">
        <f t="shared" si="5"/>
        <v>46000000</v>
      </c>
      <c r="B48">
        <f t="shared" si="0"/>
        <v>172062.16189431163</v>
      </c>
      <c r="C48" s="1">
        <f t="shared" si="1"/>
        <v>10280871.668596765</v>
      </c>
      <c r="D48" s="1">
        <f t="shared" si="2"/>
        <v>5147848.6656650715</v>
      </c>
      <c r="E48" s="1">
        <f t="shared" si="3"/>
        <v>1432842.7353815883</v>
      </c>
      <c r="F48" s="1">
        <f t="shared" si="4"/>
        <v>1098739508.1691289</v>
      </c>
    </row>
    <row r="49" spans="1:6" x14ac:dyDescent="0.35">
      <c r="A49" s="1">
        <f t="shared" si="5"/>
        <v>47000000</v>
      </c>
      <c r="B49">
        <f t="shared" si="0"/>
        <v>175003.68114898627</v>
      </c>
      <c r="C49" s="1">
        <f t="shared" si="1"/>
        <v>10601682.364940288</v>
      </c>
      <c r="D49" s="1">
        <f t="shared" si="2"/>
        <v>5112080.3091544192</v>
      </c>
      <c r="E49" s="1">
        <f t="shared" si="3"/>
        <v>1848979.169543881</v>
      </c>
      <c r="F49" s="1">
        <f t="shared" si="4"/>
        <v>1102745466.3725262</v>
      </c>
    </row>
    <row r="50" spans="1:6" x14ac:dyDescent="0.35">
      <c r="A50" s="1">
        <f t="shared" si="5"/>
        <v>48000000</v>
      </c>
      <c r="B50">
        <f t="shared" si="0"/>
        <v>177931.97351270178</v>
      </c>
      <c r="C50" s="1">
        <f t="shared" si="1"/>
        <v>10925433.382071439</v>
      </c>
      <c r="D50" s="1">
        <f t="shared" si="2"/>
        <v>5071228.4563686717</v>
      </c>
      <c r="E50" s="1">
        <f t="shared" si="3"/>
        <v>2275078.1841495149</v>
      </c>
      <c r="F50" s="1">
        <f t="shared" si="4"/>
        <v>1106713575.4617684</v>
      </c>
    </row>
    <row r="51" spans="1:6" x14ac:dyDescent="0.35">
      <c r="A51" s="1">
        <f t="shared" si="5"/>
        <v>49000000</v>
      </c>
      <c r="B51">
        <f t="shared" si="0"/>
        <v>180847.37222232317</v>
      </c>
      <c r="C51" s="1">
        <f t="shared" si="1"/>
        <v>11252089.56708326</v>
      </c>
      <c r="D51" s="1">
        <f t="shared" si="2"/>
        <v>5025328.2602147907</v>
      </c>
      <c r="E51" s="1">
        <f t="shared" si="3"/>
        <v>2710993.8811093606</v>
      </c>
      <c r="F51" s="1">
        <f t="shared" si="4"/>
        <v>1110645132.60606</v>
      </c>
    </row>
    <row r="52" spans="1:6" x14ac:dyDescent="0.35">
      <c r="A52" s="1">
        <f t="shared" si="5"/>
        <v>50000000</v>
      </c>
      <c r="B52">
        <f t="shared" si="0"/>
        <v>183750.19550220165</v>
      </c>
      <c r="C52" s="1">
        <f t="shared" si="1"/>
        <v>11581616.899476608</v>
      </c>
      <c r="D52" s="1">
        <f t="shared" si="2"/>
        <v>4974413.7411919162</v>
      </c>
      <c r="E52" s="1">
        <f t="shared" si="3"/>
        <v>3156585.7167499922</v>
      </c>
      <c r="F52" s="1">
        <f t="shared" si="4"/>
        <v>1114541362.3350918</v>
      </c>
    </row>
    <row r="53" spans="1:6" x14ac:dyDescent="0.35">
      <c r="A53" s="1">
        <f t="shared" si="5"/>
        <v>51000000</v>
      </c>
      <c r="B53">
        <f t="shared" si="0"/>
        <v>186640.74752672715</v>
      </c>
      <c r="C53" s="1">
        <f t="shared" si="1"/>
        <v>11913982.432658453</v>
      </c>
      <c r="D53" s="1">
        <f t="shared" si="2"/>
        <v>4918517.8458930813</v>
      </c>
      <c r="E53" s="1">
        <f t="shared" si="3"/>
        <v>3611718.1965885684</v>
      </c>
      <c r="F53" s="1">
        <f t="shared" si="4"/>
        <v>1118403422.0114701</v>
      </c>
    </row>
    <row r="54" spans="1:6" x14ac:dyDescent="0.35">
      <c r="A54" s="1">
        <f t="shared" si="5"/>
        <v>52000000</v>
      </c>
      <c r="B54">
        <f t="shared" si="0"/>
        <v>189519.31930353207</v>
      </c>
      <c r="C54" s="1">
        <f t="shared" si="1"/>
        <v>12249154.239555588</v>
      </c>
      <c r="D54" s="1">
        <f t="shared" si="2"/>
        <v>4857672.5013914872</v>
      </c>
      <c r="E54" s="1">
        <f t="shared" si="3"/>
        <v>4076260.5933596827</v>
      </c>
      <c r="F54" s="1">
        <f t="shared" si="4"/>
        <v>1122232406.7847655</v>
      </c>
    </row>
    <row r="55" spans="1:6" x14ac:dyDescent="0.35">
      <c r="A55" s="1">
        <f t="shared" si="5"/>
        <v>53000000</v>
      </c>
      <c r="B55">
        <f t="shared" si="0"/>
        <v>192386.18948528223</v>
      </c>
      <c r="C55" s="1">
        <f t="shared" si="1"/>
        <v>12587101.361980183</v>
      </c>
      <c r="D55" s="1">
        <f t="shared" si="2"/>
        <v>4791908.6658749711</v>
      </c>
      <c r="E55" s="1">
        <f t="shared" si="3"/>
        <v>4550086.6860983148</v>
      </c>
      <c r="F55" s="1">
        <f t="shared" si="4"/>
        <v>1126029354.0847433</v>
      </c>
    </row>
    <row r="56" spans="1:6" x14ac:dyDescent="0.35">
      <c r="A56" s="1">
        <f t="shared" si="5"/>
        <v>54000000</v>
      </c>
      <c r="B56">
        <f t="shared" si="0"/>
        <v>195241.62511706611</v>
      </c>
      <c r="C56" s="1">
        <f t="shared" si="1"/>
        <v>12927793.763422253</v>
      </c>
      <c r="D56" s="1">
        <f t="shared" si="2"/>
        <v>4721256.3758535143</v>
      </c>
      <c r="E56" s="1">
        <f t="shared" si="3"/>
        <v>5033074.5183289722</v>
      </c>
      <c r="F56" s="1">
        <f t="shared" si="4"/>
        <v>1129795247.7038119</v>
      </c>
    </row>
    <row r="57" spans="1:6" x14ac:dyDescent="0.35">
      <c r="A57" s="1">
        <f t="shared" si="5"/>
        <v>55000000</v>
      </c>
      <c r="B57">
        <f t="shared" si="0"/>
        <v>198085.88232558794</v>
      </c>
      <c r="C57" s="1">
        <f t="shared" si="1"/>
        <v>13271202.284977587</v>
      </c>
      <c r="D57" s="1">
        <f t="shared" si="2"/>
        <v>4645744.7902313266</v>
      </c>
      <c r="E57" s="1">
        <f t="shared" si="3"/>
        <v>5525106.1736245342</v>
      </c>
      <c r="F57" s="1">
        <f t="shared" si="4"/>
        <v>1133531021.5122671</v>
      </c>
    </row>
    <row r="58" spans="1:6" x14ac:dyDescent="0.35">
      <c r="A58" s="1">
        <f t="shared" si="5"/>
        <v>56000000</v>
      </c>
      <c r="B58">
        <f t="shared" si="0"/>
        <v>200919.20695567314</v>
      </c>
      <c r="C58" s="1">
        <f t="shared" si="1"/>
        <v>13617298.604149396</v>
      </c>
      <c r="D58" s="1">
        <f t="shared" si="2"/>
        <v>4565402.2315052021</v>
      </c>
      <c r="E58" s="1">
        <f t="shared" si="3"/>
        <v>6026067.5669853799</v>
      </c>
      <c r="F58" s="1">
        <f t="shared" si="4"/>
        <v>1137237562.8443418</v>
      </c>
    </row>
    <row r="59" spans="1:6" x14ac:dyDescent="0.35">
      <c r="A59" s="1">
        <f t="shared" si="5"/>
        <v>57000000</v>
      </c>
      <c r="B59">
        <f t="shared" si="0"/>
        <v>203741.83515897888</v>
      </c>
      <c r="C59" s="1">
        <f t="shared" si="1"/>
        <v>13966055.196288344</v>
      </c>
      <c r="D59" s="1">
        <f t="shared" si="2"/>
        <v>4480256.2243244685</v>
      </c>
      <c r="E59" s="1">
        <f t="shared" si="3"/>
        <v>6535848.2506547607</v>
      </c>
      <c r="F59" s="1">
        <f t="shared" si="4"/>
        <v>1140915715.5882332</v>
      </c>
    </row>
    <row r="60" spans="1:6" x14ac:dyDescent="0.35">
      <c r="A60" s="1">
        <f t="shared" si="5"/>
        <v>58000000</v>
      </c>
      <c r="B60">
        <f t="shared" si="0"/>
        <v>206553.99393927227</v>
      </c>
      <c r="C60" s="1">
        <f t="shared" si="1"/>
        <v>14317445.29845807</v>
      </c>
      <c r="D60" s="1">
        <f t="shared" si="2"/>
        <v>4390333.5316254944</v>
      </c>
      <c r="E60" s="1">
        <f t="shared" si="3"/>
        <v>7054341.2331281304</v>
      </c>
      <c r="F60" s="1">
        <f t="shared" si="4"/>
        <v>1144566283.0090716</v>
      </c>
    </row>
    <row r="61" spans="1:6" x14ac:dyDescent="0.35">
      <c r="A61" s="1">
        <f t="shared" si="5"/>
        <v>59000000</v>
      </c>
      <c r="B61">
        <f t="shared" si="0"/>
        <v>209355.90165817813</v>
      </c>
      <c r="C61" s="1">
        <f t="shared" si="1"/>
        <v>14671442.875534695</v>
      </c>
      <c r="D61" s="1">
        <f t="shared" si="2"/>
        <v>4295660.1885321587</v>
      </c>
      <c r="E61" s="1">
        <f t="shared" si="3"/>
        <v>7581442.8102424257</v>
      </c>
      <c r="F61" s="1">
        <f t="shared" si="4"/>
        <v>1148190030.33006</v>
      </c>
    </row>
    <row r="62" spans="1:6" x14ac:dyDescent="0.35">
      <c r="A62" s="1">
        <f t="shared" si="5"/>
        <v>60000000</v>
      </c>
      <c r="B62">
        <f t="shared" si="0"/>
        <v>212147.76850487551</v>
      </c>
      <c r="C62" s="1">
        <f t="shared" si="1"/>
        <v>15028022.588366222</v>
      </c>
      <c r="D62" s="1">
        <f t="shared" si="2"/>
        <v>4196261.5341964513</v>
      </c>
      <c r="E62" s="1">
        <f t="shared" si="3"/>
        <v>8117052.4073428512</v>
      </c>
      <c r="F62" s="1">
        <f t="shared" si="4"/>
        <v>1151787687.093714</v>
      </c>
    </row>
    <row r="63" spans="1:6" x14ac:dyDescent="0.35">
      <c r="A63" s="1">
        <f t="shared" si="5"/>
        <v>61000000</v>
      </c>
      <c r="B63">
        <f t="shared" si="0"/>
        <v>214929.7969328764</v>
      </c>
      <c r="C63" s="1">
        <f t="shared" si="1"/>
        <v>15387159.76383445</v>
      </c>
      <c r="D63" s="1">
        <f t="shared" si="2"/>
        <v>4092162.2417365797</v>
      </c>
      <c r="E63" s="1">
        <f t="shared" si="3"/>
        <v>8661072.4316229299</v>
      </c>
      <c r="F63" s="1">
        <f t="shared" si="4"/>
        <v>1155359949.3221145</v>
      </c>
    </row>
    <row r="64" spans="1:6" x14ac:dyDescent="0.35">
      <c r="A64" s="1">
        <f t="shared" si="5"/>
        <v>62000000</v>
      </c>
      <c r="B64">
        <f t="shared" si="0"/>
        <v>217702.18206669483</v>
      </c>
      <c r="C64" s="1">
        <f t="shared" si="1"/>
        <v>15748830.366676396</v>
      </c>
      <c r="D64" s="1">
        <f t="shared" si="2"/>
        <v>3983386.3464155253</v>
      </c>
      <c r="E64" s="1">
        <f t="shared" si="3"/>
        <v>9213408.1338219643</v>
      </c>
      <c r="F64" s="1">
        <f t="shared" si="4"/>
        <v>1158907481.4923108</v>
      </c>
    </row>
    <row r="65" spans="1:6" x14ac:dyDescent="0.35">
      <c r="A65" s="1">
        <f t="shared" si="5"/>
        <v>63000000</v>
      </c>
      <c r="B65">
        <f t="shared" si="0"/>
        <v>220465.11208092378</v>
      </c>
      <c r="C65" s="1">
        <f t="shared" si="1"/>
        <v>16113010.972934421</v>
      </c>
      <c r="D65" s="1">
        <f t="shared" si="2"/>
        <v>3869957.2721909285</v>
      </c>
      <c r="E65" s="1">
        <f t="shared" si="3"/>
        <v>9773967.4785416052</v>
      </c>
      <c r="F65" s="1">
        <f t="shared" si="4"/>
        <v>1162430918.3403621</v>
      </c>
    </row>
    <row r="66" spans="1:6" x14ac:dyDescent="0.35">
      <c r="A66" s="1">
        <f t="shared" si="5"/>
        <v>64000000</v>
      </c>
      <c r="B66">
        <f t="shared" ref="B66:B129" si="6">$M$3*A66^$M$4</f>
        <v>223218.76855401529</v>
      </c>
      <c r="C66" s="1">
        <f t="shared" ref="C66:C129" si="7">$M$7*A66*B66^$M$8</f>
        <v>16479678.744917426</v>
      </c>
      <c r="D66" s="1">
        <f t="shared" ref="D66:D129" si="8">$M$1*A66*(1-A66/$M$2)-C66</f>
        <v>3751897.856753882</v>
      </c>
      <c r="E66" s="1">
        <f t="shared" ref="E66:E129" si="9">$M$5*C66-$M$6*B66</f>
        <v>10342661.022512712</v>
      </c>
      <c r="F66" s="1">
        <f t="shared" si="4"/>
        <v>1165930866.5048771</v>
      </c>
    </row>
    <row r="67" spans="1:6" x14ac:dyDescent="0.35">
      <c r="A67" s="1">
        <f t="shared" si="5"/>
        <v>65000000</v>
      </c>
      <c r="B67">
        <f t="shared" si="6"/>
        <v>225963.32679880664</v>
      </c>
      <c r="C67" s="1">
        <f t="shared" si="7"/>
        <v>16848811.40756375</v>
      </c>
      <c r="D67" s="1">
        <f t="shared" si="8"/>
        <v>3629230.3751660585</v>
      </c>
      <c r="E67" s="1">
        <f t="shared" si="9"/>
        <v>10919401.800204709</v>
      </c>
      <c r="F67" s="1">
        <f t="shared" ref="F67:F86" si="10">F68+($M$9*F68-E67)/D67*(A67-A68)</f>
        <v>1169407906.0181911</v>
      </c>
    </row>
    <row r="68" spans="1:6" x14ac:dyDescent="0.35">
      <c r="A68" s="1">
        <f t="shared" ref="A68:A131" si="11">A67+1000000</f>
        <v>66000000</v>
      </c>
      <c r="B68">
        <f t="shared" si="6"/>
        <v>228698.95617166479</v>
      </c>
      <c r="C68" s="1">
        <f t="shared" si="7"/>
        <v>17220387.226107746</v>
      </c>
      <c r="D68" s="1">
        <f t="shared" si="8"/>
        <v>3501976.5621930882</v>
      </c>
      <c r="E68" s="1">
        <f t="shared" si="9"/>
        <v>11504105.216226205</v>
      </c>
      <c r="F68" s="1">
        <f t="shared" si="10"/>
        <v>1172862591.6503282</v>
      </c>
    </row>
    <row r="69" spans="1:6" x14ac:dyDescent="0.35">
      <c r="A69" s="1">
        <f t="shared" si="11"/>
        <v>67000000</v>
      </c>
      <c r="B69">
        <f t="shared" si="6"/>
        <v>231425.82036192215</v>
      </c>
      <c r="C69" s="1">
        <f t="shared" si="7"/>
        <v>17594384.9849585</v>
      </c>
      <c r="D69" s="1">
        <f t="shared" si="8"/>
        <v>3370157.6334258988</v>
      </c>
      <c r="E69" s="1">
        <f t="shared" si="9"/>
        <v>12096688.944013864</v>
      </c>
      <c r="F69" s="1">
        <f t="shared" si="10"/>
        <v>1176295454.1074069</v>
      </c>
    </row>
    <row r="70" spans="1:6" x14ac:dyDescent="0.35">
      <c r="A70" s="1">
        <f t="shared" si="11"/>
        <v>68000000</v>
      </c>
      <c r="B70">
        <f t="shared" si="6"/>
        <v>234144.07766315696</v>
      </c>
      <c r="C70" s="1">
        <f t="shared" si="7"/>
        <v>17970783.967708889</v>
      </c>
      <c r="D70" s="1">
        <f t="shared" si="8"/>
        <v>3233794.3052716106</v>
      </c>
      <c r="E70" s="1">
        <f t="shared" si="9"/>
        <v>12697072.830350988</v>
      </c>
      <c r="F70" s="1">
        <f t="shared" si="10"/>
        <v>1179707001.0818238</v>
      </c>
    </row>
    <row r="71" spans="1:6" x14ac:dyDescent="0.35">
      <c r="A71" s="1">
        <f t="shared" si="11"/>
        <v>69000000</v>
      </c>
      <c r="B71">
        <f t="shared" si="6"/>
        <v>236853.88122768144</v>
      </c>
      <c r="C71" s="1">
        <f t="shared" si="7"/>
        <v>18349563.9381974</v>
      </c>
      <c r="D71" s="1">
        <f t="shared" si="8"/>
        <v>3092906.8138917349</v>
      </c>
      <c r="E71" s="1">
        <f t="shared" si="9"/>
        <v>13305178.805297725</v>
      </c>
      <c r="F71" s="1">
        <f t="shared" si="10"/>
        <v>1183097718.1458907</v>
      </c>
    </row>
    <row r="72" spans="1:6" x14ac:dyDescent="0.35">
      <c r="A72" s="1">
        <f t="shared" si="11"/>
        <v>70000000</v>
      </c>
      <c r="B72">
        <f t="shared" si="6"/>
        <v>239555.37930552178</v>
      </c>
      <c r="C72" s="1">
        <f t="shared" si="7"/>
        <v>18730705.122553721</v>
      </c>
      <c r="D72" s="1">
        <f t="shared" si="8"/>
        <v>2947514.9331565872</v>
      </c>
      <c r="E72" s="1">
        <f t="shared" si="9"/>
        <v>13920930.797150217</v>
      </c>
      <c r="F72" s="1">
        <f t="shared" si="10"/>
        <v>1186468069.4727843</v>
      </c>
    </row>
    <row r="73" spans="1:6" x14ac:dyDescent="0.35">
      <c r="A73" s="1">
        <f t="shared" si="11"/>
        <v>71000000</v>
      </c>
      <c r="B73">
        <f t="shared" si="6"/>
        <v>242248.71546904111</v>
      </c>
      <c r="C73" s="1">
        <f t="shared" si="7"/>
        <v>19114188.192163318</v>
      </c>
      <c r="D73" s="1">
        <f t="shared" si="8"/>
        <v>2797637.9916806929</v>
      </c>
      <c r="E73" s="1">
        <f t="shared" si="9"/>
        <v>14544254.652077675</v>
      </c>
      <c r="F73" s="1">
        <f t="shared" si="10"/>
        <v>1189818498.3574388</v>
      </c>
    </row>
    <row r="74" spans="1:6" x14ac:dyDescent="0.35">
      <c r="A74" s="1">
        <f t="shared" si="11"/>
        <v>72000000</v>
      </c>
      <c r="B74">
        <f t="shared" si="6"/>
        <v>244934.02882425231</v>
      </c>
      <c r="C74" s="1">
        <f t="shared" si="7"/>
        <v>19499994.247491602</v>
      </c>
      <c r="D74" s="1">
        <f t="shared" si="8"/>
        <v>2643294.88899865</v>
      </c>
      <c r="E74" s="1">
        <f t="shared" si="9"/>
        <v>15175078.058116727</v>
      </c>
      <c r="F74" s="1">
        <f t="shared" si="10"/>
        <v>1193149427.4931946</v>
      </c>
    </row>
    <row r="75" spans="1:6" x14ac:dyDescent="0.35">
      <c r="A75" s="1">
        <f t="shared" si="11"/>
        <v>73000000</v>
      </c>
      <c r="B75">
        <f t="shared" si="6"/>
        <v>247611.45420978405</v>
      </c>
      <c r="C75" s="1">
        <f t="shared" si="7"/>
        <v>19888104.802712727</v>
      </c>
      <c r="D75" s="1">
        <f t="shared" si="8"/>
        <v>2484504.1109362952</v>
      </c>
      <c r="E75" s="1">
        <f t="shared" si="9"/>
        <v>15813330.473227412</v>
      </c>
      <c r="F75" s="1">
        <f t="shared" si="10"/>
        <v>1196461258.9339457</v>
      </c>
    </row>
    <row r="76" spans="1:6" x14ac:dyDescent="0.35">
      <c r="A76" s="1">
        <f t="shared" si="11"/>
        <v>74000000</v>
      </c>
      <c r="B76">
        <f t="shared" si="6"/>
        <v>250281.12238438774</v>
      </c>
      <c r="C76" s="1">
        <f t="shared" si="7"/>
        <v>20278501.771093193</v>
      </c>
      <c r="D76" s="1">
        <f t="shared" si="8"/>
        <v>2321283.7442271411</v>
      </c>
      <c r="E76" s="1">
        <f t="shared" si="9"/>
        <v>16458943.057140306</v>
      </c>
      <c r="F76" s="1">
        <f t="shared" si="10"/>
        <v>1199754373.6296921</v>
      </c>
    </row>
    <row r="77" spans="1:6" x14ac:dyDescent="0.35">
      <c r="A77" s="1">
        <f t="shared" si="11"/>
        <v>75000000</v>
      </c>
      <c r="B77">
        <f t="shared" si="6"/>
        <v>252943.16020378066</v>
      </c>
      <c r="C77" s="1">
        <f t="shared" si="7"/>
        <v>20671167.451082487</v>
      </c>
      <c r="D77" s="1">
        <f t="shared" si="8"/>
        <v>2153651.4904216938</v>
      </c>
      <c r="E77" s="1">
        <f t="shared" si="9"/>
        <v>17111848.606744274</v>
      </c>
      <c r="F77" s="1">
        <f t="shared" si="10"/>
        <v>1203029130.353785</v>
      </c>
    </row>
    <row r="78" spans="1:6" x14ac:dyDescent="0.35">
      <c r="A78" s="1">
        <f t="shared" si="11"/>
        <v>76000000</v>
      </c>
      <c r="B78">
        <f t="shared" si="6"/>
        <v>255597.69078757495</v>
      </c>
      <c r="C78" s="1">
        <f t="shared" si="7"/>
        <v>21066084.513068505</v>
      </c>
      <c r="D78" s="1">
        <f t="shared" si="8"/>
        <v>1981624.6791320518</v>
      </c>
      <c r="E78" s="1">
        <f t="shared" si="9"/>
        <v>17771981.494786002</v>
      </c>
      <c r="F78" s="1">
        <f t="shared" si="10"/>
        <v>1206285863.7198129</v>
      </c>
    </row>
    <row r="79" spans="1:6" x14ac:dyDescent="0.35">
      <c r="A79" s="1">
        <f t="shared" si="11"/>
        <v>77000000</v>
      </c>
      <c r="B79">
        <f t="shared" si="6"/>
        <v>258244.83367696076</v>
      </c>
      <c r="C79" s="1">
        <f t="shared" si="7"/>
        <v>21463235.986756705</v>
      </c>
      <c r="D79" s="1">
        <f t="shared" si="8"/>
        <v>1805220.2806527652</v>
      </c>
      <c r="E79" s="1">
        <f t="shared" si="9"/>
        <v>18439277.611668117</v>
      </c>
      <c r="F79" s="1">
        <f t="shared" si="10"/>
        <v>1209524880.7688956</v>
      </c>
    </row>
    <row r="80" spans="1:6" x14ac:dyDescent="0.35">
      <c r="A80" s="1">
        <f t="shared" si="11"/>
        <v>78000000</v>
      </c>
      <c r="B80">
        <f t="shared" si="6"/>
        <v>260884.7049837854</v>
      </c>
      <c r="C80" s="1">
        <f t="shared" si="7"/>
        <v>21862605.249136947</v>
      </c>
      <c r="D80" s="1">
        <f t="shared" si="8"/>
        <v>1624454.9179939702</v>
      </c>
      <c r="E80" s="1">
        <f t="shared" si="9"/>
        <v>19113674.310150594</v>
      </c>
      <c r="F80" s="1">
        <f t="shared" si="10"/>
        <v>1212746455.196454</v>
      </c>
    </row>
    <row r="81" spans="1:6" x14ac:dyDescent="0.35">
      <c r="A81" s="1">
        <f t="shared" si="11"/>
        <v>79000000</v>
      </c>
      <c r="B81">
        <f t="shared" si="6"/>
        <v>263517.41753158288</v>
      </c>
      <c r="C81" s="1">
        <f t="shared" si="7"/>
        <v>22264176.013002295</v>
      </c>
      <c r="D81" s="1">
        <f t="shared" si="8"/>
        <v>1439344.8783626072</v>
      </c>
      <c r="E81" s="1">
        <f t="shared" si="9"/>
        <v>19795110.352774017</v>
      </c>
      <c r="F81" s="1">
        <f t="shared" si="10"/>
        <v>1215950817.4606218</v>
      </c>
    </row>
    <row r="82" spans="1:6" x14ac:dyDescent="0.35">
      <c r="A82" s="1">
        <f t="shared" si="11"/>
        <v>80000000</v>
      </c>
      <c r="B82">
        <f t="shared" si="6"/>
        <v>266143.08098909527</v>
      </c>
      <c r="C82" s="1">
        <f t="shared" si="7"/>
        <v>22667932.315988578</v>
      </c>
      <c r="D82" s="1">
        <f t="shared" si="8"/>
        <v>1249906.1241228431</v>
      </c>
      <c r="E82" s="1">
        <f t="shared" si="9"/>
        <v>20483525.861837588</v>
      </c>
      <c r="F82" s="1">
        <f t="shared" si="10"/>
        <v>1219138137.2342749</v>
      </c>
    </row>
    <row r="83" spans="1:6" x14ac:dyDescent="0.35">
      <c r="A83" s="1">
        <f t="shared" si="11"/>
        <v>81000000</v>
      </c>
      <c r="B83">
        <f t="shared" si="6"/>
        <v>268761.80199678155</v>
      </c>
      <c r="C83" s="1">
        <f t="shared" si="7"/>
        <v>23073858.510104761</v>
      </c>
      <c r="D83" s="1">
        <f t="shared" si="8"/>
        <v>1056154.3032657132</v>
      </c>
      <c r="E83" s="1">
        <f t="shared" si="9"/>
        <v>21178862.271775283</v>
      </c>
      <c r="F83" s="1">
        <f t="shared" si="10"/>
        <v>1222308490.4883728</v>
      </c>
    </row>
    <row r="84" spans="1:6" x14ac:dyDescent="0.35">
      <c r="A84" s="1">
        <f t="shared" si="11"/>
        <v>82000000</v>
      </c>
      <c r="B84">
        <f t="shared" si="6"/>
        <v>271373.68428674102</v>
      </c>
      <c r="C84" s="1">
        <f t="shared" si="7"/>
        <v>23481939.251725871</v>
      </c>
      <c r="D84" s="1">
        <f t="shared" si="8"/>
        <v>858104.75941618904</v>
      </c>
      <c r="E84" s="1">
        <f t="shared" si="9"/>
        <v>21881062.28378848</v>
      </c>
      <c r="F84" s="1">
        <f t="shared" si="10"/>
        <v>1225461792.5860376</v>
      </c>
    </row>
    <row r="85" spans="1:6" x14ac:dyDescent="0.35">
      <c r="A85" s="1">
        <f t="shared" si="11"/>
        <v>83000000</v>
      </c>
      <c r="B85">
        <f t="shared" si="6"/>
        <v>273978.82879650139</v>
      </c>
      <c r="C85" s="1">
        <f t="shared" si="7"/>
        <v>23892159.492023285</v>
      </c>
      <c r="D85" s="1">
        <f t="shared" si="8"/>
        <v>655772.541402895</v>
      </c>
      <c r="E85" s="1">
        <f t="shared" si="9"/>
        <v>22590069.822598159</v>
      </c>
      <c r="F85" s="1">
        <f t="shared" si="10"/>
        <v>1228597645.8769352</v>
      </c>
    </row>
    <row r="86" spans="1:6" x14ac:dyDescent="0.35">
      <c r="A86" s="1">
        <f t="shared" si="11"/>
        <v>84000000</v>
      </c>
      <c r="B86">
        <f t="shared" si="6"/>
        <v>276577.33377702202</v>
      </c>
      <c r="C86" s="1">
        <f t="shared" si="7"/>
        <v>24304504.467807516</v>
      </c>
      <c r="D86" s="1">
        <f t="shared" si="8"/>
        <v>449172.41241532564</v>
      </c>
      <c r="E86" s="1">
        <f t="shared" si="9"/>
        <v>23305829.995195925</v>
      </c>
      <c r="F86" s="1">
        <f t="shared" si="10"/>
        <v>1231714929.1282177</v>
      </c>
    </row>
    <row r="87" spans="1:6" x14ac:dyDescent="0.35">
      <c r="A87" s="1">
        <f t="shared" si="11"/>
        <v>85000000</v>
      </c>
      <c r="B87">
        <f t="shared" si="6"/>
        <v>279169.29489530541</v>
      </c>
      <c r="C87" s="1">
        <f t="shared" si="7"/>
        <v>24718959.692761876</v>
      </c>
      <c r="D87" s="1">
        <f t="shared" si="8"/>
        <v>238318.85877015814</v>
      </c>
      <c r="E87" s="1">
        <f t="shared" si="9"/>
        <v>24028289.051475339</v>
      </c>
      <c r="F87" s="1">
        <f>F88+($M$9*F88-E87)/D87*(A87-A88)</f>
        <v>1234810348.4723735</v>
      </c>
    </row>
    <row r="88" spans="1:6" x14ac:dyDescent="0.35">
      <c r="A88" s="1">
        <f t="shared" si="11"/>
        <v>86000000</v>
      </c>
      <c r="B88">
        <f t="shared" si="6"/>
        <v>281754.80533191457</v>
      </c>
      <c r="C88" s="1">
        <f t="shared" si="7"/>
        <v>25135510.949044902</v>
      </c>
      <c r="D88" s="1">
        <f t="shared" si="8"/>
        <v>23226.098308861256</v>
      </c>
      <c r="E88" s="1">
        <f t="shared" si="9"/>
        <v>24757394.346638307</v>
      </c>
      <c r="F88" s="1">
        <f>E88/$M$9</f>
        <v>1237869717.3319154</v>
      </c>
    </row>
    <row r="89" spans="1:6" x14ac:dyDescent="0.35">
      <c r="A89" s="1">
        <f t="shared" si="11"/>
        <v>87000000</v>
      </c>
      <c r="B89">
        <f t="shared" si="6"/>
        <v>284333.95587373048</v>
      </c>
      <c r="C89" s="1">
        <f t="shared" si="7"/>
        <v>25554144.279242739</v>
      </c>
      <c r="D89" s="1">
        <f t="shared" si="8"/>
        <v>-196091.91155471653</v>
      </c>
      <c r="E89" s="1">
        <f t="shared" si="9"/>
        <v>25493094.305274643</v>
      </c>
      <c r="F89" s="1">
        <f>F88+($M$9*F88-E89)/D89*(A89-A88)</f>
        <v>1241621529.1879137</v>
      </c>
    </row>
    <row r="90" spans="1:6" x14ac:dyDescent="0.35">
      <c r="A90" s="1">
        <f t="shared" si="11"/>
        <v>88000000</v>
      </c>
      <c r="B90">
        <f t="shared" si="6"/>
        <v>286906.83500221733</v>
      </c>
      <c r="C90" s="1">
        <f t="shared" si="7"/>
        <v>25974845.97865257</v>
      </c>
      <c r="D90" s="1">
        <f t="shared" si="8"/>
        <v>-419621.46611775085</v>
      </c>
      <c r="E90" s="1">
        <f t="shared" si="9"/>
        <v>26235338.387022689</v>
      </c>
      <c r="F90" s="1">
        <f t="shared" ref="F90:F153" si="12">F89+($M$9*F89-E90)/D90*(A90-A89)</f>
        <v>1244964799.0550246</v>
      </c>
    </row>
    <row r="91" spans="1:6" x14ac:dyDescent="0.35">
      <c r="A91" s="1">
        <f t="shared" si="11"/>
        <v>89000000</v>
      </c>
      <c r="B91">
        <f t="shared" si="6"/>
        <v>289473.52897747583</v>
      </c>
      <c r="C91" s="1">
        <f t="shared" si="7"/>
        <v>26397602.58788028</v>
      </c>
      <c r="D91" s="1">
        <f t="shared" si="8"/>
        <v>-647349.10598612949</v>
      </c>
      <c r="E91" s="1">
        <f t="shared" si="9"/>
        <v>26984077.053722963</v>
      </c>
      <c r="F91" s="1">
        <f t="shared" si="12"/>
        <v>1248185288.6692748</v>
      </c>
    </row>
    <row r="92" spans="1:6" x14ac:dyDescent="0.35">
      <c r="A92" s="1">
        <f t="shared" si="11"/>
        <v>90000000</v>
      </c>
      <c r="B92">
        <f t="shared" si="6"/>
        <v>292034.12191831024</v>
      </c>
      <c r="C92" s="1">
        <f t="shared" si="7"/>
        <v>26822400.885735292</v>
      </c>
      <c r="D92" s="1">
        <f t="shared" si="8"/>
        <v>-879261.60996927321</v>
      </c>
      <c r="E92" s="1">
        <f t="shared" si="9"/>
        <v>27739261.737983823</v>
      </c>
      <c r="F92" s="1">
        <f t="shared" si="12"/>
        <v>1251341978.2519069</v>
      </c>
    </row>
    <row r="93" spans="1:6" x14ac:dyDescent="0.35">
      <c r="A93" s="1">
        <f t="shared" si="11"/>
        <v>91000000</v>
      </c>
      <c r="B93">
        <f t="shared" si="6"/>
        <v>294588.69587857008</v>
      </c>
      <c r="C93" s="1">
        <f t="shared" si="7"/>
        <v>27249227.882408932</v>
      </c>
      <c r="D93" s="1">
        <f t="shared" si="8"/>
        <v>-1115345.9882585108</v>
      </c>
      <c r="E93" s="1">
        <f t="shared" si="9"/>
        <v>28500844.813082904</v>
      </c>
      <c r="F93" s="1">
        <f t="shared" si="12"/>
        <v>1254456711.5137076</v>
      </c>
    </row>
    <row r="94" spans="1:6" x14ac:dyDescent="0.35">
      <c r="A94" s="1">
        <f t="shared" si="11"/>
        <v>92000000</v>
      </c>
      <c r="B94">
        <f t="shared" si="6"/>
        <v>297137.33091994212</v>
      </c>
      <c r="C94" s="1">
        <f t="shared" si="7"/>
        <v>27678070.812920149</v>
      </c>
      <c r="D94" s="1">
        <f t="shared" si="8"/>
        <v>-1355589.475872796</v>
      </c>
      <c r="E94" s="1">
        <f t="shared" si="9"/>
        <v>29268779.564133257</v>
      </c>
      <c r="F94" s="1">
        <f t="shared" si="12"/>
        <v>1257539979.278949</v>
      </c>
    </row>
    <row r="95" spans="1:6" x14ac:dyDescent="0.35">
      <c r="A95" s="1">
        <f t="shared" si="11"/>
        <v>93000000</v>
      </c>
      <c r="B95">
        <f t="shared" si="6"/>
        <v>299680.1051814332</v>
      </c>
      <c r="C95" s="1">
        <f t="shared" si="7"/>
        <v>28108917.130817272</v>
      </c>
      <c r="D95" s="1">
        <f t="shared" si="8"/>
        <v>-1599979.5263604447</v>
      </c>
      <c r="E95" s="1">
        <f t="shared" si="9"/>
        <v>30043020.160447359</v>
      </c>
      <c r="F95" s="1">
        <f t="shared" si="12"/>
        <v>1260597656.2643521</v>
      </c>
    </row>
    <row r="96" spans="1:6" x14ac:dyDescent="0.35">
      <c r="A96" s="1">
        <f t="shared" si="11"/>
        <v>94000000</v>
      </c>
      <c r="B96">
        <f t="shared" si="6"/>
        <v>302217.09494569292</v>
      </c>
      <c r="C96" s="1">
        <f t="shared" si="7"/>
        <v>28541754.502121374</v>
      </c>
      <c r="D96" s="1">
        <f t="shared" si="8"/>
        <v>-1848503.8057425469</v>
      </c>
      <c r="E96" s="1">
        <f t="shared" si="9"/>
        <v>30823521.629036695</v>
      </c>
      <c r="F96" s="1">
        <f t="shared" si="12"/>
        <v>1263633391.6987703</v>
      </c>
    </row>
    <row r="97" spans="1:6" x14ac:dyDescent="0.35">
      <c r="A97" s="1">
        <f t="shared" si="11"/>
        <v>95000000</v>
      </c>
      <c r="B97">
        <f t="shared" si="6"/>
        <v>304748.37470238179</v>
      </c>
      <c r="C97" s="1">
        <f t="shared" si="7"/>
        <v>28976570.799501024</v>
      </c>
      <c r="D97" s="1">
        <f t="shared" si="8"/>
        <v>-2101150.186687652</v>
      </c>
      <c r="E97" s="1">
        <f t="shared" si="9"/>
        <v>31610239.829188354</v>
      </c>
      <c r="F97" s="1">
        <f t="shared" si="12"/>
        <v>1266649631.1067698</v>
      </c>
    </row>
    <row r="98" spans="1:6" x14ac:dyDescent="0.35">
      <c r="A98" s="1">
        <f t="shared" si="11"/>
        <v>96000000</v>
      </c>
      <c r="B98">
        <f t="shared" si="6"/>
        <v>307274.01720871916</v>
      </c>
      <c r="C98" s="1">
        <f t="shared" si="7"/>
        <v>29413354.096665725</v>
      </c>
      <c r="D98" s="1">
        <f t="shared" si="8"/>
        <v>-2357906.7429052778</v>
      </c>
      <c r="E98" s="1">
        <f t="shared" si="9"/>
        <v>32403131.428063422</v>
      </c>
      <c r="F98" s="1">
        <f t="shared" si="12"/>
        <v>1269648112.2075179</v>
      </c>
    </row>
    <row r="99" spans="1:6" x14ac:dyDescent="0.35">
      <c r="A99" s="1">
        <f t="shared" si="11"/>
        <v>97000000</v>
      </c>
      <c r="B99">
        <f t="shared" si="6"/>
        <v>309794.09354738839</v>
      </c>
      <c r="C99" s="1">
        <f t="shared" si="7"/>
        <v>29852092.662969112</v>
      </c>
      <c r="D99" s="1">
        <f t="shared" si="8"/>
        <v>-2618761.7437490523</v>
      </c>
      <c r="E99" s="1">
        <f t="shared" si="9"/>
        <v>33202153.877266191</v>
      </c>
      <c r="F99" s="1">
        <f t="shared" si="12"/>
        <v>1272630129.0525999</v>
      </c>
    </row>
    <row r="100" spans="1:6" x14ac:dyDescent="0.35">
      <c r="A100" s="1">
        <f t="shared" si="11"/>
        <v>98000000</v>
      </c>
      <c r="B100">
        <f t="shared" si="6"/>
        <v>312308.67318192817</v>
      </c>
      <c r="C100" s="1">
        <f t="shared" si="7"/>
        <v>30292774.958211195</v>
      </c>
      <c r="D100" s="1">
        <f t="shared" si="8"/>
        <v>-2883703.6490189955</v>
      </c>
      <c r="E100" s="1">
        <f t="shared" si="9"/>
        <v>34007265.390335217</v>
      </c>
      <c r="F100" s="1">
        <f t="shared" si="12"/>
        <v>1275596683.1269734</v>
      </c>
    </row>
    <row r="101" spans="1:6" x14ac:dyDescent="0.35">
      <c r="A101" s="1">
        <f t="shared" si="11"/>
        <v>99000000</v>
      </c>
      <c r="B101">
        <f t="shared" si="6"/>
        <v>314817.82400973659</v>
      </c>
      <c r="C101" s="1">
        <f t="shared" si="7"/>
        <v>30735389.627629749</v>
      </c>
      <c r="D101" s="1">
        <f t="shared" si="8"/>
        <v>-3152721.1039528698</v>
      </c>
      <c r="E101" s="1">
        <f t="shared" si="9"/>
        <v>34818424.92111063</v>
      </c>
      <c r="F101" s="1">
        <f t="shared" si="12"/>
        <v>1278548574.8267825</v>
      </c>
    </row>
    <row r="102" spans="1:6" x14ac:dyDescent="0.35">
      <c r="A102" s="1">
        <f t="shared" si="11"/>
        <v>100000000</v>
      </c>
      <c r="B102">
        <f t="shared" si="6"/>
        <v>317321.6124128392</v>
      </c>
      <c r="C102" s="1">
        <f t="shared" si="7"/>
        <v>31179925.497074079</v>
      </c>
      <c r="D102" s="1">
        <f t="shared" si="8"/>
        <v>-3425802.9343999848</v>
      </c>
      <c r="E102" s="1">
        <f t="shared" si="9"/>
        <v>35635592.142935626</v>
      </c>
      <c r="F102" s="1">
        <f t="shared" si="12"/>
        <v>1281486461.4592378</v>
      </c>
    </row>
    <row r="103" spans="1:6" x14ac:dyDescent="0.35">
      <c r="A103" s="1">
        <f t="shared" si="11"/>
        <v>101000000</v>
      </c>
      <c r="B103">
        <f t="shared" si="6"/>
        <v>319820.10330650111</v>
      </c>
      <c r="C103" s="1">
        <f t="shared" si="7"/>
        <v>31626371.568349939</v>
      </c>
      <c r="D103" s="1">
        <f t="shared" si="8"/>
        <v>-3702938.142166093</v>
      </c>
      <c r="E103" s="1">
        <f t="shared" si="9"/>
        <v>36458727.428650171</v>
      </c>
      <c r="F103" s="1">
        <f t="shared" si="12"/>
        <v>1284410895.4583244</v>
      </c>
    </row>
    <row r="104" spans="1:6" x14ac:dyDescent="0.35">
      <c r="A104" s="1">
        <f t="shared" si="11"/>
        <v>102000000</v>
      </c>
      <c r="B104">
        <f t="shared" si="6"/>
        <v>322313.36018583365</v>
      </c>
      <c r="C104" s="1">
        <f t="shared" si="7"/>
        <v>32074717.014731072</v>
      </c>
      <c r="D104" s="1">
        <f t="shared" si="8"/>
        <v>-3984115.9005249403</v>
      </c>
      <c r="E104" s="1">
        <f t="shared" si="9"/>
        <v>37287791.831341356</v>
      </c>
      <c r="F104" s="1">
        <f t="shared" si="12"/>
        <v>1287322350.3988411</v>
      </c>
    </row>
    <row r="105" spans="1:6" x14ac:dyDescent="0.35">
      <c r="A105" s="1">
        <f t="shared" si="11"/>
        <v>103000000</v>
      </c>
      <c r="B105">
        <f t="shared" si="6"/>
        <v>324801.445170463</v>
      </c>
      <c r="C105" s="1">
        <f t="shared" si="7"/>
        <v>32524951.176626869</v>
      </c>
      <c r="D105" s="1">
        <f t="shared" si="8"/>
        <v>-4269325.5498859212</v>
      </c>
      <c r="E105" s="1">
        <f t="shared" si="9"/>
        <v>38122747.065811709</v>
      </c>
      <c r="F105" s="1">
        <f t="shared" si="12"/>
        <v>1290221239.2076755</v>
      </c>
    </row>
    <row r="106" spans="1:6" x14ac:dyDescent="0.35">
      <c r="A106" s="1">
        <f t="shared" si="11"/>
        <v>104000000</v>
      </c>
      <c r="B106">
        <f t="shared" si="6"/>
        <v>327284.41904737969</v>
      </c>
      <c r="C106" s="1">
        <f t="shared" si="7"/>
        <v>32977063.557401236</v>
      </c>
      <c r="D106" s="1">
        <f t="shared" si="8"/>
        <v>-4558556.5936129391</v>
      </c>
      <c r="E106" s="1">
        <f t="shared" si="9"/>
        <v>38963555.490734249</v>
      </c>
      <c r="F106" s="1">
        <f t="shared" si="12"/>
        <v>1293107927.2275233</v>
      </c>
    </row>
    <row r="107" spans="1:6" x14ac:dyDescent="0.35">
      <c r="A107" s="1">
        <f t="shared" si="11"/>
        <v>105000000</v>
      </c>
      <c r="B107">
        <f t="shared" si="6"/>
        <v>329762.341312056</v>
      </c>
      <c r="C107" s="1">
        <f t="shared" si="7"/>
        <v>33431043.819335278</v>
      </c>
      <c r="D107" s="1">
        <f t="shared" si="8"/>
        <v>-4851798.6939870901</v>
      </c>
      <c r="E107" s="1">
        <f t="shared" si="9"/>
        <v>39810180.09146069</v>
      </c>
      <c r="F107" s="1">
        <f t="shared" si="12"/>
        <v>1295982741.7914903</v>
      </c>
    </row>
    <row r="108" spans="1:6" x14ac:dyDescent="0.35">
      <c r="A108" s="1">
        <f t="shared" si="11"/>
        <v>106000000</v>
      </c>
      <c r="B108">
        <f t="shared" si="6"/>
        <v>332235.27020791761</v>
      </c>
      <c r="C108" s="1">
        <f t="shared" si="7"/>
        <v>33886881.779727772</v>
      </c>
      <c r="D108" s="1">
        <f t="shared" si="8"/>
        <v>-5149041.6683071591</v>
      </c>
      <c r="E108" s="1">
        <f t="shared" si="9"/>
        <v>40662584.463453598</v>
      </c>
      <c r="F108" s="1">
        <f t="shared" si="12"/>
        <v>1298845979.3757515</v>
      </c>
    </row>
    <row r="109" spans="1:6" x14ac:dyDescent="0.35">
      <c r="A109" s="1">
        <f t="shared" si="11"/>
        <v>107000000</v>
      </c>
      <c r="B109">
        <f t="shared" si="6"/>
        <v>334703.26276423805</v>
      </c>
      <c r="C109" s="1">
        <f t="shared" si="7"/>
        <v>34344567.407126658</v>
      </c>
      <c r="D109" s="1">
        <f t="shared" si="8"/>
        <v>-5450275.4851210825</v>
      </c>
      <c r="E109" s="1">
        <f t="shared" si="9"/>
        <v>41520732.796313554</v>
      </c>
      <c r="F109" s="1">
        <f t="shared" si="12"/>
        <v>1301697911.035212</v>
      </c>
    </row>
    <row r="110" spans="1:6" x14ac:dyDescent="0.35">
      <c r="A110" s="1">
        <f t="shared" si="11"/>
        <v>108000000</v>
      </c>
      <c r="B110">
        <f t="shared" si="6"/>
        <v>337166.37483255332</v>
      </c>
      <c r="C110" s="1">
        <f t="shared" si="7"/>
        <v>34804090.817687146</v>
      </c>
      <c r="D110" s="1">
        <f t="shared" si="8"/>
        <v>-5755490.2605840825</v>
      </c>
      <c r="E110" s="1">
        <f t="shared" si="9"/>
        <v>42384589.85837464</v>
      </c>
      <c r="F110" s="1">
        <f t="shared" si="12"/>
        <v>1304538786.5987842</v>
      </c>
    </row>
    <row r="111" spans="1:6" x14ac:dyDescent="0.35">
      <c r="A111" s="1">
        <f t="shared" si="11"/>
        <v>109000000</v>
      </c>
      <c r="B111">
        <f t="shared" si="6"/>
        <v>339624.66112165636</v>
      </c>
      <c r="C111" s="1">
        <f t="shared" si="7"/>
        <v>35265442.271650508</v>
      </c>
      <c r="D111" s="1">
        <f t="shared" si="8"/>
        <v>-6064676.2549374178</v>
      </c>
      <c r="E111" s="1">
        <f t="shared" si="9"/>
        <v>43254120.981842957</v>
      </c>
      <c r="F111" s="1">
        <f t="shared" si="12"/>
        <v>1307368837.9532804</v>
      </c>
    </row>
    <row r="112" spans="1:6" x14ac:dyDescent="0.35">
      <c r="A112" s="1">
        <f t="shared" si="11"/>
        <v>110000000</v>
      </c>
      <c r="B112">
        <f t="shared" si="6"/>
        <v>342078.17523123196</v>
      </c>
      <c r="C112" s="1">
        <f t="shared" si="7"/>
        <v>35728612.169937983</v>
      </c>
      <c r="D112" s="1">
        <f t="shared" si="8"/>
        <v>-6377823.869102329</v>
      </c>
      <c r="E112" s="1">
        <f t="shared" si="9"/>
        <v>44129292.048454076</v>
      </c>
      <c r="F112" s="1">
        <f t="shared" si="12"/>
        <v>1310188281.6473126</v>
      </c>
    </row>
    <row r="113" spans="1:6" x14ac:dyDescent="0.35">
      <c r="A113" s="1">
        <f t="shared" si="11"/>
        <v>111000000</v>
      </c>
      <c r="B113">
        <f t="shared" si="6"/>
        <v>344526.96968421835</v>
      </c>
      <c r="C113" s="1">
        <f t="shared" si="7"/>
        <v>36193591.050856084</v>
      </c>
      <c r="D113" s="1">
        <f t="shared" si="8"/>
        <v>-6694923.6413853317</v>
      </c>
      <c r="E113" s="1">
        <f t="shared" si="9"/>
        <v>45010069.475626022</v>
      </c>
      <c r="F113" s="1">
        <f t="shared" si="12"/>
        <v>1312997320.9807005</v>
      </c>
    </row>
    <row r="114" spans="1:6" x14ac:dyDescent="0.35">
      <c r="A114" s="1">
        <f t="shared" si="11"/>
        <v>112000000</v>
      </c>
      <c r="B114">
        <f t="shared" si="6"/>
        <v>346971.09595793061</v>
      </c>
      <c r="C114" s="1">
        <f t="shared" si="7"/>
        <v>36660369.586907655</v>
      </c>
      <c r="D114" s="1">
        <f t="shared" si="8"/>
        <v>-7015966.2442892678</v>
      </c>
      <c r="E114" s="1">
        <f t="shared" si="9"/>
        <v>45896420.203087293</v>
      </c>
      <c r="F114" s="1">
        <f t="shared" si="12"/>
        <v>1315796147.6996086</v>
      </c>
    </row>
    <row r="115" spans="1:6" x14ac:dyDescent="0.35">
      <c r="A115" s="1">
        <f t="shared" si="11"/>
        <v>113000000</v>
      </c>
      <c r="B115">
        <f t="shared" si="6"/>
        <v>349410.60451402003</v>
      </c>
      <c r="C115" s="1">
        <f t="shared" si="7"/>
        <v>37128938.581705153</v>
      </c>
      <c r="D115" s="1">
        <f t="shared" si="8"/>
        <v>-7340942.4814266041</v>
      </c>
      <c r="E115" s="1">
        <f t="shared" si="9"/>
        <v>46788311.67995885</v>
      </c>
      <c r="F115" s="1">
        <f t="shared" si="12"/>
        <v>1318584943.3859613</v>
      </c>
    </row>
    <row r="116" spans="1:6" x14ac:dyDescent="0.35">
      <c r="A116" s="1">
        <f t="shared" si="11"/>
        <v>114000000</v>
      </c>
      <c r="B116">
        <f t="shared" si="6"/>
        <v>351845.54482731648</v>
      </c>
      <c r="C116" s="1">
        <f t="shared" si="7"/>
        <v>37599288.966981292</v>
      </c>
      <c r="D116" s="1">
        <f t="shared" si="8"/>
        <v>-7669843.2845300362</v>
      </c>
      <c r="E116" s="1">
        <f t="shared" si="9"/>
        <v>47685711.852270074</v>
      </c>
      <c r="F116" s="1">
        <f t="shared" si="12"/>
        <v>1321363880.6072133</v>
      </c>
    </row>
    <row r="117" spans="1:6" x14ac:dyDescent="0.35">
      <c r="A117" s="1">
        <f t="shared" si="11"/>
        <v>115000000</v>
      </c>
      <c r="B117">
        <f t="shared" si="6"/>
        <v>354275.96541360475</v>
      </c>
      <c r="C117" s="1">
        <f t="shared" si="7"/>
        <v>38071411.79969383</v>
      </c>
      <c r="D117" s="1">
        <f t="shared" si="8"/>
        <v>-8002659.7105573416</v>
      </c>
      <c r="E117" s="1">
        <f t="shared" si="9"/>
        <v>48588589.150891818</v>
      </c>
      <c r="F117" s="1">
        <f t="shared" si="12"/>
        <v>1324133123.8763618</v>
      </c>
    </row>
    <row r="118" spans="1:6" x14ac:dyDescent="0.35">
      <c r="A118" s="1">
        <f t="shared" si="11"/>
        <v>116000000</v>
      </c>
      <c r="B118">
        <f t="shared" si="6"/>
        <v>356701.9138563929</v>
      </c>
      <c r="C118" s="1">
        <f t="shared" si="7"/>
        <v>38545298.259220652</v>
      </c>
      <c r="D118" s="1">
        <f t="shared" si="8"/>
        <v>-8339382.9388863891</v>
      </c>
      <c r="E118" s="1">
        <f t="shared" si="9"/>
        <v>49496912.479867652</v>
      </c>
      <c r="F118" s="1">
        <f t="shared" si="12"/>
        <v>1326892830.4602897</v>
      </c>
    </row>
    <row r="119" spans="1:6" x14ac:dyDescent="0.35">
      <c r="A119" s="1">
        <f t="shared" si="11"/>
        <v>117000000</v>
      </c>
      <c r="B119">
        <f t="shared" si="6"/>
        <v>359123.43683269364</v>
      </c>
      <c r="C119" s="1">
        <f t="shared" si="7"/>
        <v>39020939.644640572</v>
      </c>
      <c r="D119" s="1">
        <f t="shared" si="8"/>
        <v>-8680004.268596001</v>
      </c>
      <c r="E119" s="1">
        <f t="shared" si="9"/>
        <v>50410651.205127425</v>
      </c>
      <c r="F119" s="1">
        <f t="shared" si="12"/>
        <v>1329643151.0658097</v>
      </c>
    </row>
    <row r="120" spans="1:6" x14ac:dyDescent="0.35">
      <c r="A120" s="1">
        <f t="shared" si="11"/>
        <v>118000000</v>
      </c>
      <c r="B120">
        <f t="shared" si="6"/>
        <v>361540.58013789105</v>
      </c>
      <c r="C120" s="1">
        <f t="shared" si="7"/>
        <v>39498327.372098044</v>
      </c>
      <c r="D120" s="1">
        <f t="shared" si="8"/>
        <v>-9024515.1158306301</v>
      </c>
      <c r="E120" s="1">
        <f t="shared" si="9"/>
        <v>51329775.143567391</v>
      </c>
      <c r="F120" s="1">
        <f t="shared" si="12"/>
        <v>1332384230.4262795</v>
      </c>
    </row>
    <row r="121" spans="1:6" x14ac:dyDescent="0.35">
      <c r="A121" s="1">
        <f t="shared" si="11"/>
        <v>119000000</v>
      </c>
      <c r="B121">
        <f t="shared" si="6"/>
        <v>363953.38870972052</v>
      </c>
      <c r="C121" s="1">
        <f t="shared" si="7"/>
        <v>39977452.972247578</v>
      </c>
      <c r="D121" s="1">
        <f t="shared" si="8"/>
        <v>-9372907.0112447925</v>
      </c>
      <c r="E121" s="1">
        <f t="shared" si="9"/>
        <v>52254254.552481227</v>
      </c>
      <c r="F121" s="1">
        <f t="shared" si="12"/>
        <v>1335116207.8067482</v>
      </c>
    </row>
    <row r="122" spans="1:6" x14ac:dyDescent="0.35">
      <c r="A122" s="1">
        <f t="shared" si="11"/>
        <v>120000000</v>
      </c>
      <c r="B122">
        <f t="shared" si="6"/>
        <v>366361.90665139188</v>
      </c>
      <c r="C122" s="1">
        <f t="shared" si="7"/>
        <v>40458308.08777485</v>
      </c>
      <c r="D122" s="1">
        <f t="shared" si="8"/>
        <v>-9725171.5975241587</v>
      </c>
      <c r="E122" s="1">
        <f t="shared" si="9"/>
        <v>53184060.11932914</v>
      </c>
      <c r="F122" s="1">
        <f t="shared" si="12"/>
        <v>1337839217.4418621</v>
      </c>
    </row>
    <row r="123" spans="1:6" x14ac:dyDescent="0.35">
      <c r="A123" s="1">
        <f t="shared" si="11"/>
        <v>121000000</v>
      </c>
      <c r="B123">
        <f t="shared" si="6"/>
        <v>368766.17725391086</v>
      </c>
      <c r="C123" s="1">
        <f t="shared" si="7"/>
        <v>40940884.470991887</v>
      </c>
      <c r="D123" s="1">
        <f t="shared" si="8"/>
        <v>-10081300.626980744</v>
      </c>
      <c r="E123" s="1">
        <f t="shared" si="9"/>
        <v>54119162.951829739</v>
      </c>
      <c r="F123" s="1">
        <f t="shared" si="12"/>
        <v>1340553388.9178879</v>
      </c>
    </row>
    <row r="124" spans="1:6" x14ac:dyDescent="0.35">
      <c r="A124" s="1">
        <f t="shared" si="11"/>
        <v>122000000</v>
      </c>
      <c r="B124">
        <f t="shared" si="6"/>
        <v>371166.24301761494</v>
      </c>
      <c r="C124" s="1">
        <f t="shared" si="7"/>
        <v>41425173.981503032</v>
      </c>
      <c r="D124" s="1">
        <f t="shared" si="8"/>
        <v>-10441285.959218908</v>
      </c>
      <c r="E124" s="1">
        <f t="shared" si="9"/>
        <v>55059534.5683631</v>
      </c>
      <c r="F124" s="1">
        <f t="shared" si="12"/>
        <v>1343258847.5079827</v>
      </c>
    </row>
    <row r="125" spans="1:6" x14ac:dyDescent="0.35">
      <c r="A125" s="1">
        <f t="shared" si="11"/>
        <v>123000000</v>
      </c>
      <c r="B125">
        <f t="shared" si="6"/>
        <v>373562.14567297761</v>
      </c>
      <c r="C125" s="1">
        <f t="shared" si="7"/>
        <v>41911168.583940022</v>
      </c>
      <c r="D125" s="1">
        <f t="shared" si="8"/>
        <v>-10805119.558870379</v>
      </c>
      <c r="E125" s="1">
        <f t="shared" si="9"/>
        <v>56005146.888672493</v>
      </c>
      <c r="F125" s="1">
        <f t="shared" si="12"/>
        <v>1345955714.4681072</v>
      </c>
    </row>
    <row r="126" spans="1:6" x14ac:dyDescent="0.35">
      <c r="A126" s="1">
        <f t="shared" si="11"/>
        <v>124000000</v>
      </c>
      <c r="B126">
        <f t="shared" si="6"/>
        <v>375953.9262006887</v>
      </c>
      <c r="C126" s="1">
        <f t="shared" si="7"/>
        <v>42398860.345762067</v>
      </c>
      <c r="D126" s="1">
        <f t="shared" si="8"/>
        <v>-11172793.493394379</v>
      </c>
      <c r="E126" s="1">
        <f t="shared" si="9"/>
        <v>56955972.224852212</v>
      </c>
      <c r="F126" s="1">
        <f t="shared" si="12"/>
        <v>1348644107.2996089</v>
      </c>
    </row>
    <row r="127" spans="1:6" x14ac:dyDescent="0.35">
      <c r="A127" s="1">
        <f t="shared" si="11"/>
        <v>125000000</v>
      </c>
      <c r="B127">
        <f t="shared" si="6"/>
        <v>378341.62485106773</v>
      </c>
      <c r="C127" s="1">
        <f t="shared" si="7"/>
        <v>42888241.435120478</v>
      </c>
      <c r="D127" s="1">
        <f t="shared" si="8"/>
        <v>-11544299.930942208</v>
      </c>
      <c r="E127" s="1">
        <f t="shared" si="9"/>
        <v>57911983.272611938</v>
      </c>
      <c r="F127" s="1">
        <f t="shared" si="12"/>
        <v>1351324139.983418</v>
      </c>
    </row>
    <row r="128" spans="1:6" x14ac:dyDescent="0.35">
      <c r="A128" s="1">
        <f t="shared" si="11"/>
        <v>126000000</v>
      </c>
      <c r="B128">
        <f t="shared" si="6"/>
        <v>380725.28116280329</v>
      </c>
      <c r="C128" s="1">
        <f t="shared" si="7"/>
        <v>43379304.118782923</v>
      </c>
      <c r="D128" s="1">
        <f t="shared" si="8"/>
        <v>-11919631.138281532</v>
      </c>
      <c r="E128" s="1">
        <f t="shared" si="9"/>
        <v>58873153.102805004</v>
      </c>
      <c r="F128" s="1">
        <f t="shared" si="12"/>
        <v>1353995923.189935</v>
      </c>
    </row>
    <row r="129" spans="1:6" x14ac:dyDescent="0.35">
      <c r="A129" s="1">
        <f t="shared" si="11"/>
        <v>127000000</v>
      </c>
      <c r="B129">
        <f t="shared" si="6"/>
        <v>383104.93398109119</v>
      </c>
      <c r="C129" s="1">
        <f t="shared" si="7"/>
        <v>43872040.760118477</v>
      </c>
      <c r="D129" s="1">
        <f t="shared" si="8"/>
        <v>-12298779.478781428</v>
      </c>
      <c r="E129" s="1">
        <f t="shared" si="9"/>
        <v>59839455.15321295</v>
      </c>
      <c r="F129" s="1">
        <f t="shared" si="12"/>
        <v>1356659564.467993</v>
      </c>
    </row>
    <row r="130" spans="1:6" x14ac:dyDescent="0.35">
      <c r="A130" s="1">
        <f t="shared" si="11"/>
        <v>128000000</v>
      </c>
      <c r="B130">
        <f t="shared" ref="B130:B193" si="13">$M$3*A130^$M$4</f>
        <v>385480.6214751458</v>
      </c>
      <c r="C130" s="1">
        <f t="shared" ref="C130:C193" si="14">$M$7*A130*B130^$M$8</f>
        <v>44366443.817137517</v>
      </c>
      <c r="D130" s="1">
        <f t="shared" ref="D130:D193" si="15">$M$1*A130*(1-A130/$M$2)-C130</f>
        <v>-12681737.410452276</v>
      </c>
      <c r="E130" s="1">
        <f t="shared" ref="E130:E193" si="16">$M$5*C130-$M$6*B130</f>
        <v>60810863.220573992</v>
      </c>
      <c r="F130" s="1">
        <f t="shared" si="12"/>
        <v>1359315168.4157183</v>
      </c>
    </row>
    <row r="131" spans="1:6" x14ac:dyDescent="0.35">
      <c r="A131" s="1">
        <f t="shared" si="11"/>
        <v>129000000</v>
      </c>
      <c r="B131">
        <f t="shared" si="13"/>
        <v>387852.38115516293</v>
      </c>
      <c r="C131" s="1">
        <f t="shared" si="14"/>
        <v>44862505.840588249</v>
      </c>
      <c r="D131" s="1">
        <f t="shared" si="15"/>
        <v>-13068497.484042291</v>
      </c>
      <c r="E131" s="1">
        <f t="shared" si="16"/>
        <v>61787351.452848345</v>
      </c>
      <c r="F131" s="1">
        <f t="shared" si="12"/>
        <v>1361962836.8356559</v>
      </c>
    </row>
    <row r="132" spans="1:6" x14ac:dyDescent="0.35">
      <c r="A132" s="1">
        <f t="shared" ref="A132:A195" si="17">A131+1000000</f>
        <v>130000000</v>
      </c>
      <c r="B132">
        <f t="shared" si="13"/>
        <v>390220.24988870014</v>
      </c>
      <c r="C132" s="1">
        <f t="shared" si="14"/>
        <v>45360219.472104132</v>
      </c>
      <c r="D132" s="1">
        <f t="shared" si="15"/>
        <v>-13459052.34118491</v>
      </c>
      <c r="E132" s="1">
        <f t="shared" si="16"/>
        <v>62768894.341710038</v>
      </c>
      <c r="F132" s="1">
        <f t="shared" si="12"/>
        <v>1364602668.8761537</v>
      </c>
    </row>
    <row r="133" spans="1:6" x14ac:dyDescent="0.35">
      <c r="A133" s="1">
        <f t="shared" si="17"/>
        <v>131000000</v>
      </c>
      <c r="B133">
        <f t="shared" si="13"/>
        <v>392584.26391655352</v>
      </c>
      <c r="C133" s="1">
        <f t="shared" si="14"/>
        <v>45859577.442404173</v>
      </c>
      <c r="D133" s="1">
        <f t="shared" si="15"/>
        <v>-13853394.712599162</v>
      </c>
      <c r="E133" s="1">
        <f t="shared" si="16"/>
        <v>63755466.715258583</v>
      </c>
      <c r="F133" s="1">
        <f t="shared" si="12"/>
        <v>1367234761.1606948</v>
      </c>
    </row>
    <row r="134" spans="1:6" x14ac:dyDescent="0.35">
      <c r="A134" s="1">
        <f t="shared" si="17"/>
        <v>132000000</v>
      </c>
      <c r="B134">
        <f t="shared" si="13"/>
        <v>394944.4588681056</v>
      </c>
      <c r="C134" s="1">
        <f t="shared" si="14"/>
        <v>46360572.569540709</v>
      </c>
      <c r="D134" s="1">
        <f t="shared" si="15"/>
        <v>-14251517.416337367</v>
      </c>
      <c r="E134" s="1">
        <f t="shared" si="16"/>
        <v>64747043.730939761</v>
      </c>
      <c r="F134" s="1">
        <f t="shared" si="12"/>
        <v>1369859207.9066145</v>
      </c>
    </row>
    <row r="135" spans="1:6" x14ac:dyDescent="0.35">
      <c r="A135" s="1">
        <f t="shared" si="17"/>
        <v>133000000</v>
      </c>
      <c r="B135">
        <f t="shared" si="13"/>
        <v>397300.86977619358</v>
      </c>
      <c r="C135" s="1">
        <f t="shared" si="14"/>
        <v>46863197.75719592</v>
      </c>
      <c r="D135" s="1">
        <f t="shared" si="15"/>
        <v>-14653413.356081713</v>
      </c>
      <c r="E135" s="1">
        <f t="shared" si="16"/>
        <v>65743600.86867138</v>
      </c>
      <c r="F135" s="1">
        <f t="shared" si="12"/>
        <v>1372476101.0344279</v>
      </c>
    </row>
    <row r="136" spans="1:6" x14ac:dyDescent="0.35">
      <c r="A136" s="1">
        <f t="shared" si="17"/>
        <v>134000000</v>
      </c>
      <c r="B136">
        <f t="shared" si="13"/>
        <v>399653.53109150397</v>
      </c>
      <c r="C136" s="1">
        <f t="shared" si="14"/>
        <v>47367445.993023328</v>
      </c>
      <c r="D136" s="1">
        <f t="shared" si="15"/>
        <v>-15059075.519485727</v>
      </c>
      <c r="E136" s="1">
        <f t="shared" si="16"/>
        <v>66745113.924162887</v>
      </c>
      <c r="F136" s="1">
        <f t="shared" si="12"/>
        <v>1375085530.2688205</v>
      </c>
    </row>
    <row r="137" spans="1:6" x14ac:dyDescent="0.35">
      <c r="A137" s="1">
        <f t="shared" si="17"/>
        <v>135000000</v>
      </c>
      <c r="B137">
        <f t="shared" si="13"/>
        <v>402002.47669651383</v>
      </c>
      <c r="C137" s="1">
        <f t="shared" si="14"/>
        <v>47873310.347034052</v>
      </c>
      <c r="D137" s="1">
        <f t="shared" si="15"/>
        <v>-15468496.976560514</v>
      </c>
      <c r="E137" s="1">
        <f t="shared" si="16"/>
        <v>67751559.002425328</v>
      </c>
      <c r="F137" s="1">
        <f t="shared" si="12"/>
        <v>1377687583.2322106</v>
      </c>
    </row>
    <row r="138" spans="1:6" x14ac:dyDescent="0.35">
      <c r="A138" s="1">
        <f t="shared" si="17"/>
        <v>136000000</v>
      </c>
      <c r="B138">
        <f t="shared" si="13"/>
        <v>404347.73991900199</v>
      </c>
      <c r="C138" s="1">
        <f t="shared" si="14"/>
        <v>48380783.970025688</v>
      </c>
      <c r="D138" s="1">
        <f t="shared" si="15"/>
        <v>-15881670.878103685</v>
      </c>
      <c r="E138" s="1">
        <f t="shared" si="16"/>
        <v>68762912.511462063</v>
      </c>
      <c r="F138" s="1">
        <f t="shared" si="12"/>
        <v>1380282345.5316632</v>
      </c>
    </row>
    <row r="139" spans="1:6" x14ac:dyDescent="0.35">
      <c r="A139" s="1">
        <f t="shared" si="17"/>
        <v>137000000</v>
      </c>
      <c r="B139">
        <f t="shared" si="13"/>
        <v>406689.35354513477</v>
      </c>
      <c r="C139" s="1">
        <f t="shared" si="14"/>
        <v>48889860.092052206</v>
      </c>
      <c r="D139" s="1">
        <f t="shared" si="15"/>
        <v>-16298590.454169199</v>
      </c>
      <c r="E139" s="1">
        <f t="shared" si="16"/>
        <v>69779151.15613535</v>
      </c>
      <c r="F139" s="1">
        <f t="shared" si="12"/>
        <v>1382869900.8398411</v>
      </c>
    </row>
    <row r="140" spans="1:6" x14ac:dyDescent="0.35">
      <c r="A140" s="1">
        <f t="shared" si="17"/>
        <v>138000000</v>
      </c>
      <c r="B140">
        <f t="shared" si="13"/>
        <v>409027.34983215929</v>
      </c>
      <c r="C140" s="1">
        <f t="shared" si="14"/>
        <v>49400532.020934574</v>
      </c>
      <c r="D140" s="1">
        <f t="shared" si="15"/>
        <v>-16719249.012578025</v>
      </c>
      <c r="E140" s="1">
        <f t="shared" si="16"/>
        <v>70800251.932202995</v>
      </c>
      <c r="F140" s="1">
        <f t="shared" si="12"/>
        <v>1385450330.9705815</v>
      </c>
    </row>
    <row r="141" spans="1:6" x14ac:dyDescent="0.35">
      <c r="A141" s="1">
        <f t="shared" si="17"/>
        <v>139000000</v>
      </c>
      <c r="B141">
        <f t="shared" si="13"/>
        <v>411361.76052070211</v>
      </c>
      <c r="C141" s="1">
        <f t="shared" si="14"/>
        <v>49912793.140809052</v>
      </c>
      <c r="D141" s="1">
        <f t="shared" si="15"/>
        <v>-17143639.937466428</v>
      </c>
      <c r="E141" s="1">
        <f t="shared" si="16"/>
        <v>71826192.120517015</v>
      </c>
      <c r="F141" s="1">
        <f t="shared" si="12"/>
        <v>1388023715.9496191</v>
      </c>
    </row>
    <row r="142" spans="1:6" x14ac:dyDescent="0.35">
      <c r="A142" s="1">
        <f t="shared" si="17"/>
        <v>140000000</v>
      </c>
      <c r="B142">
        <f t="shared" si="13"/>
        <v>413692.61684669345</v>
      </c>
      <c r="C142" s="1">
        <f t="shared" si="14"/>
        <v>50426636.910713278</v>
      </c>
      <c r="D142" s="1">
        <f t="shared" si="15"/>
        <v>-17571756.687872052</v>
      </c>
      <c r="E142" s="1">
        <f t="shared" si="16"/>
        <v>72856949.281381756</v>
      </c>
      <c r="F142" s="1">
        <f t="shared" si="12"/>
        <v>1390590134.0809102</v>
      </c>
    </row>
    <row r="143" spans="1:6" x14ac:dyDescent="0.35">
      <c r="A143" s="1">
        <f t="shared" si="17"/>
        <v>141000000</v>
      </c>
      <c r="B143">
        <f t="shared" si="13"/>
        <v>416019.94955294661</v>
      </c>
      <c r="C143" s="1">
        <f t="shared" si="14"/>
        <v>50942056.863209017</v>
      </c>
      <c r="D143" s="1">
        <f t="shared" si="15"/>
        <v>-18003592.796356652</v>
      </c>
      <c r="E143" s="1">
        <f t="shared" si="16"/>
        <v>73892501.249063522</v>
      </c>
      <c r="F143" s="1">
        <f t="shared" si="12"/>
        <v>1393149662.0089564</v>
      </c>
    </row>
    <row r="144" spans="1:6" x14ac:dyDescent="0.35">
      <c r="A144" s="1">
        <f t="shared" si="17"/>
        <v>142000000</v>
      </c>
      <c r="B144">
        <f t="shared" si="13"/>
        <v>418343.78890037246</v>
      </c>
      <c r="C144" s="1">
        <f t="shared" si="14"/>
        <v>51459046.603038535</v>
      </c>
      <c r="D144" s="1">
        <f t="shared" si="15"/>
        <v>-18439141.867662489</v>
      </c>
      <c r="E144" s="1">
        <f t="shared" si="16"/>
        <v>74932826.126447082</v>
      </c>
      <c r="F144" s="1">
        <f t="shared" si="12"/>
        <v>1395702374.7774837</v>
      </c>
    </row>
    <row r="145" spans="1:6" x14ac:dyDescent="0.35">
      <c r="A145" s="1">
        <f t="shared" si="17"/>
        <v>143000000</v>
      </c>
      <c r="B145">
        <f t="shared" si="13"/>
        <v>420664.16467888013</v>
      </c>
      <c r="C145" s="1">
        <f t="shared" si="14"/>
        <v>51977599.805816233</v>
      </c>
      <c r="D145" s="1">
        <f t="shared" si="15"/>
        <v>-18878397.577403978</v>
      </c>
      <c r="E145" s="1">
        <f t="shared" si="16"/>
        <v>75977902.279835165</v>
      </c>
      <c r="F145" s="1">
        <f t="shared" si="12"/>
        <v>1398248345.8847885</v>
      </c>
    </row>
    <row r="146" spans="1:6" x14ac:dyDescent="0.35">
      <c r="A146" s="1">
        <f t="shared" si="17"/>
        <v>144000000</v>
      </c>
      <c r="B146">
        <f t="shared" si="13"/>
        <v>422981.10621794162</v>
      </c>
      <c r="C146" s="1">
        <f t="shared" si="14"/>
        <v>52497710.216751955</v>
      </c>
      <c r="D146" s="1">
        <f t="shared" si="15"/>
        <v>-19321353.670790948</v>
      </c>
      <c r="E146" s="1">
        <f t="shared" si="16"/>
        <v>77027708.333885223</v>
      </c>
      <c r="F146" s="1">
        <f t="shared" si="12"/>
        <v>1400787647.33603</v>
      </c>
    </row>
    <row r="147" spans="1:6" x14ac:dyDescent="0.35">
      <c r="A147" s="1">
        <f t="shared" si="17"/>
        <v>145000000</v>
      </c>
      <c r="B147">
        <f t="shared" si="13"/>
        <v>425294.64239686017</v>
      </c>
      <c r="C147" s="1">
        <f t="shared" si="14"/>
        <v>53019371.649406798</v>
      </c>
      <c r="D147" s="1">
        <f t="shared" si="15"/>
        <v>-19768003.961384516</v>
      </c>
      <c r="E147" s="1">
        <f t="shared" si="16"/>
        <v>78082223.166678771</v>
      </c>
      <c r="F147" s="1">
        <f t="shared" si="12"/>
        <v>1403320349.6927152</v>
      </c>
    </row>
    <row r="148" spans="1:6" x14ac:dyDescent="0.35">
      <c r="A148" s="1">
        <f t="shared" si="17"/>
        <v>146000000</v>
      </c>
      <c r="B148">
        <f t="shared" si="13"/>
        <v>427604.80165472801</v>
      </c>
      <c r="C148" s="1">
        <f t="shared" si="14"/>
        <v>53542577.984478772</v>
      </c>
      <c r="D148" s="1">
        <f t="shared" si="15"/>
        <v>-20218342.329882674</v>
      </c>
      <c r="E148" s="1">
        <f t="shared" si="16"/>
        <v>79141425.904919297</v>
      </c>
      <c r="F148" s="1">
        <f t="shared" si="12"/>
        <v>1405846522.1195998</v>
      </c>
    </row>
    <row r="149" spans="1:6" x14ac:dyDescent="0.35">
      <c r="A149" s="1">
        <f t="shared" si="17"/>
        <v>147000000</v>
      </c>
      <c r="B149">
        <f t="shared" si="13"/>
        <v>429911.61200010864</v>
      </c>
      <c r="C149" s="1">
        <f t="shared" si="14"/>
        <v>54067323.168619081</v>
      </c>
      <c r="D149" s="1">
        <f t="shared" si="15"/>
        <v>-20672362.72293663</v>
      </c>
      <c r="E149" s="1">
        <f t="shared" si="16"/>
        <v>80205295.919254914</v>
      </c>
      <c r="F149" s="1">
        <f t="shared" si="12"/>
        <v>1408366232.4292042</v>
      </c>
    </row>
    <row r="150" spans="1:6" x14ac:dyDescent="0.35">
      <c r="A150" s="1">
        <f t="shared" si="17"/>
        <v>148000000</v>
      </c>
      <c r="B150">
        <f t="shared" si="13"/>
        <v>432215.1010204358</v>
      </c>
      <c r="C150" s="1">
        <f t="shared" si="14"/>
        <v>54593601.213276468</v>
      </c>
      <c r="D150" s="1">
        <f t="shared" si="15"/>
        <v>-21130059.15199513</v>
      </c>
      <c r="E150" s="1">
        <f t="shared" si="16"/>
        <v>81273812.819719806</v>
      </c>
      <c r="F150" s="1">
        <f t="shared" si="12"/>
        <v>1410879547.1241193</v>
      </c>
    </row>
    <row r="151" spans="1:6" x14ac:dyDescent="0.35">
      <c r="A151" s="1">
        <f t="shared" si="17"/>
        <v>149000000</v>
      </c>
      <c r="B151">
        <f t="shared" si="13"/>
        <v>434515.29589114484</v>
      </c>
      <c r="C151" s="1">
        <f t="shared" si="14"/>
        <v>55121406.193570122</v>
      </c>
      <c r="D151" s="1">
        <f t="shared" si="15"/>
        <v>-21591425.692177363</v>
      </c>
      <c r="E151" s="1">
        <f t="shared" si="16"/>
        <v>82346956.451294184</v>
      </c>
      <c r="F151" s="1">
        <f t="shared" si="12"/>
        <v>1413386531.4372683</v>
      </c>
    </row>
    <row r="152" spans="1:6" x14ac:dyDescent="0.35">
      <c r="A152" s="1">
        <f t="shared" si="17"/>
        <v>150000000</v>
      </c>
      <c r="B152">
        <f t="shared" si="13"/>
        <v>436812.22338455182</v>
      </c>
      <c r="C152" s="1">
        <f t="shared" si="14"/>
        <v>55650732.247189231</v>
      </c>
      <c r="D152" s="1">
        <f t="shared" si="15"/>
        <v>-22056456.481172517</v>
      </c>
      <c r="E152" s="1">
        <f t="shared" si="16"/>
        <v>83424706.889574528</v>
      </c>
      <c r="F152" s="1">
        <f t="shared" si="12"/>
        <v>1415887249.370265</v>
      </c>
    </row>
    <row r="153" spans="1:6" x14ac:dyDescent="0.35">
      <c r="A153" s="1">
        <f t="shared" si="17"/>
        <v>151000000</v>
      </c>
      <c r="B153">
        <f t="shared" si="13"/>
        <v>439105.90987847088</v>
      </c>
      <c r="C153" s="1">
        <f t="shared" si="14"/>
        <v>56181573.573318399</v>
      </c>
      <c r="D153" s="1">
        <f t="shared" si="15"/>
        <v>-22525145.718165196</v>
      </c>
      <c r="E153" s="1">
        <f t="shared" si="16"/>
        <v>84507044.436553642</v>
      </c>
      <c r="F153" s="1">
        <f t="shared" si="12"/>
        <v>1418381763.7300026</v>
      </c>
    </row>
    <row r="154" spans="1:6" x14ac:dyDescent="0.35">
      <c r="A154" s="1">
        <f t="shared" si="17"/>
        <v>152000000</v>
      </c>
      <c r="B154">
        <f t="shared" si="13"/>
        <v>441396.38136460917</v>
      </c>
      <c r="C154" s="1">
        <f t="shared" si="14"/>
        <v>56713924.431589849</v>
      </c>
      <c r="D154" s="1">
        <f t="shared" si="15"/>
        <v>-22997487.662787624</v>
      </c>
      <c r="E154" s="1">
        <f t="shared" si="16"/>
        <v>85593949.616507396</v>
      </c>
      <c r="F154" s="1">
        <f t="shared" ref="F154:F217" si="18">F153+($M$9*F153-E154)/D154*(A154-A153)</f>
        <v>1420870136.1635926</v>
      </c>
    </row>
    <row r="155" spans="1:6" x14ac:dyDescent="0.35">
      <c r="A155" s="1">
        <f t="shared" si="17"/>
        <v>153000000</v>
      </c>
      <c r="B155">
        <f t="shared" si="13"/>
        <v>443683.66345671518</v>
      </c>
      <c r="C155" s="1">
        <f t="shared" si="14"/>
        <v>57247779.141058855</v>
      </c>
      <c r="D155" s="1">
        <f t="shared" si="15"/>
        <v>-23473476.634095065</v>
      </c>
      <c r="E155" s="1">
        <f t="shared" si="16"/>
        <v>86685403.171981484</v>
      </c>
      <c r="F155" s="1">
        <f t="shared" si="18"/>
        <v>1423352427.1917598</v>
      </c>
    </row>
    <row r="156" spans="1:6" x14ac:dyDescent="0.35">
      <c r="A156" s="1">
        <f t="shared" si="17"/>
        <v>154000000</v>
      </c>
      <c r="B156">
        <f t="shared" si="13"/>
        <v>445967.78139850631</v>
      </c>
      <c r="C156" s="1">
        <f t="shared" si="14"/>
        <v>57783132.079203598</v>
      </c>
      <c r="D156" s="1">
        <f t="shared" si="15"/>
        <v>-23953107.009565711</v>
      </c>
      <c r="E156" s="1">
        <f t="shared" si="16"/>
        <v>87781386.05987826</v>
      </c>
      <c r="F156" s="1">
        <f t="shared" si="18"/>
        <v>1425828696.2407961</v>
      </c>
    </row>
    <row r="157" spans="1:6" x14ac:dyDescent="0.35">
      <c r="A157" s="1">
        <f t="shared" si="17"/>
        <v>155000000</v>
      </c>
      <c r="B157">
        <f t="shared" si="13"/>
        <v>448248.76007138402</v>
      </c>
      <c r="C157" s="1">
        <f t="shared" si="14"/>
        <v>58319977.68094866</v>
      </c>
      <c r="D157" s="1">
        <f t="shared" si="15"/>
        <v>-24436373.224124141</v>
      </c>
      <c r="E157" s="1">
        <f t="shared" si="16"/>
        <v>88881879.447639629</v>
      </c>
      <c r="F157" s="1">
        <f t="shared" si="18"/>
        <v>1428299001.6731598</v>
      </c>
    </row>
    <row r="158" spans="1:6" x14ac:dyDescent="0.35">
      <c r="A158" s="1">
        <f t="shared" si="17"/>
        <v>156000000</v>
      </c>
      <c r="B158">
        <f t="shared" si="13"/>
        <v>450526.62400193606</v>
      </c>
      <c r="C158" s="1">
        <f t="shared" si="14"/>
        <v>58858310.437710665</v>
      </c>
      <c r="D158" s="1">
        <f t="shared" si="15"/>
        <v>-24923269.769186988</v>
      </c>
      <c r="E158" s="1">
        <f t="shared" si="16"/>
        <v>89986864.70952259</v>
      </c>
      <c r="F158" s="1">
        <f t="shared" si="18"/>
        <v>1430763400.8168066</v>
      </c>
    </row>
    <row r="159" spans="1:6" x14ac:dyDescent="0.35">
      <c r="A159" s="1">
        <f t="shared" si="17"/>
        <v>157000000</v>
      </c>
      <c r="B159">
        <f t="shared" si="13"/>
        <v>452801.39736923564</v>
      </c>
      <c r="C159" s="1">
        <f t="shared" si="14"/>
        <v>59398124.896465704</v>
      </c>
      <c r="D159" s="1">
        <f t="shared" si="15"/>
        <v>-25413791.191730328</v>
      </c>
      <c r="E159" s="1">
        <f t="shared" si="16"/>
        <v>91096323.422964349</v>
      </c>
      <c r="F159" s="1">
        <f t="shared" si="18"/>
        <v>1433221949.9933245</v>
      </c>
    </row>
    <row r="160" spans="1:6" x14ac:dyDescent="0.35">
      <c r="A160" s="1">
        <f t="shared" si="17"/>
        <v>158000000</v>
      </c>
      <c r="B160">
        <f t="shared" si="13"/>
        <v>455073.10401194671</v>
      </c>
      <c r="C160" s="1">
        <f t="shared" si="14"/>
        <v>59939415.65883828</v>
      </c>
      <c r="D160" s="1">
        <f t="shared" si="15"/>
        <v>-25907932.093378671</v>
      </c>
      <c r="E160" s="1">
        <f t="shared" si="16"/>
        <v>92210237.365035519</v>
      </c>
      <c r="F160" s="1">
        <f t="shared" si="18"/>
        <v>1435674704.5449474</v>
      </c>
    </row>
    <row r="161" spans="1:6" x14ac:dyDescent="0.35">
      <c r="A161" s="1">
        <f t="shared" si="17"/>
        <v>159000000</v>
      </c>
      <c r="B161">
        <f t="shared" si="13"/>
        <v>457341.76743524009</v>
      </c>
      <c r="C161" s="1">
        <f t="shared" si="14"/>
        <v>60482177.38021066</v>
      </c>
      <c r="D161" s="1">
        <f t="shared" si="15"/>
        <v>-26405687.129514277</v>
      </c>
      <c r="E161" s="1">
        <f t="shared" si="16"/>
        <v>93328588.50897707</v>
      </c>
      <c r="F161" s="1">
        <f t="shared" si="18"/>
        <v>1438121718.8605058</v>
      </c>
    </row>
    <row r="162" spans="1:6" x14ac:dyDescent="0.35">
      <c r="A162" s="1">
        <f t="shared" si="17"/>
        <v>160000000</v>
      </c>
      <c r="B162">
        <f t="shared" si="13"/>
        <v>459607.41081752296</v>
      </c>
      <c r="C162" s="1">
        <f t="shared" si="14"/>
        <v>61026404.768852428</v>
      </c>
      <c r="D162" s="1">
        <f t="shared" si="15"/>
        <v>-26907051.008406743</v>
      </c>
      <c r="E162" s="1">
        <f t="shared" si="16"/>
        <v>94451359.020820573</v>
      </c>
      <c r="F162" s="1">
        <f t="shared" si="18"/>
        <v>1440563046.4003797</v>
      </c>
    </row>
    <row r="163" spans="1:6" x14ac:dyDescent="0.35">
      <c r="A163" s="1">
        <f t="shared" si="17"/>
        <v>161000000</v>
      </c>
      <c r="B163">
        <f t="shared" si="13"/>
        <v>461870.05701699737</v>
      </c>
      <c r="C163" s="1">
        <f t="shared" si="14"/>
        <v>61572092.585069448</v>
      </c>
      <c r="D163" s="1">
        <f t="shared" si="15"/>
        <v>-27412018.490361929</v>
      </c>
      <c r="E163" s="1">
        <f t="shared" si="16"/>
        <v>95578531.256086916</v>
      </c>
      <c r="F163" s="1">
        <f t="shared" si="18"/>
        <v>1442998739.7205033</v>
      </c>
    </row>
    <row r="164" spans="1:6" x14ac:dyDescent="0.35">
      <c r="A164" s="1">
        <f t="shared" si="17"/>
        <v>162000000</v>
      </c>
      <c r="B164">
        <f t="shared" si="13"/>
        <v>464129.72857804003</v>
      </c>
      <c r="C164" s="1">
        <f t="shared" si="14"/>
        <v>62119235.640371308</v>
      </c>
      <c r="D164" s="1">
        <f t="shared" si="15"/>
        <v>-27920584.38688942</v>
      </c>
      <c r="E164" s="1">
        <f t="shared" si="16"/>
        <v>96710087.756562412</v>
      </c>
      <c r="F164" s="1">
        <f t="shared" si="18"/>
        <v>1445428850.4954774</v>
      </c>
    </row>
    <row r="165" spans="1:6" x14ac:dyDescent="0.35">
      <c r="A165" s="1">
        <f t="shared" si="17"/>
        <v>163000000</v>
      </c>
      <c r="B165">
        <f t="shared" si="13"/>
        <v>466386.4477374283</v>
      </c>
      <c r="C165" s="1">
        <f t="shared" si="14"/>
        <v>62667828.796658486</v>
      </c>
      <c r="D165" s="1">
        <f t="shared" si="15"/>
        <v>-28432743.559889689</v>
      </c>
      <c r="E165" s="1">
        <f t="shared" si="16"/>
        <v>97846011.247151405</v>
      </c>
      <c r="F165" s="1">
        <f t="shared" si="18"/>
        <v>1447853429.5408318</v>
      </c>
    </row>
    <row r="166" spans="1:6" x14ac:dyDescent="0.35">
      <c r="A166" s="1">
        <f t="shared" si="17"/>
        <v>164000000</v>
      </c>
      <c r="B166">
        <f t="shared" si="13"/>
        <v>468640.23643038591</v>
      </c>
      <c r="C166" s="1">
        <f t="shared" si="14"/>
        <v>63217866.965425171</v>
      </c>
      <c r="D166" s="1">
        <f t="shared" si="15"/>
        <v>-28948490.920856923</v>
      </c>
      <c r="E166" s="1">
        <f t="shared" si="16"/>
        <v>98986284.63279894</v>
      </c>
      <c r="F166" s="1">
        <f t="shared" si="18"/>
        <v>1450272526.8344848</v>
      </c>
    </row>
    <row r="167" spans="1:6" x14ac:dyDescent="0.35">
      <c r="A167" s="1">
        <f t="shared" si="17"/>
        <v>165000000</v>
      </c>
      <c r="B167">
        <f t="shared" si="13"/>
        <v>470891.1162964924</v>
      </c>
      <c r="C167" s="1">
        <f t="shared" si="14"/>
        <v>63769345.106981397</v>
      </c>
      <c r="D167" s="1">
        <f t="shared" si="15"/>
        <v>-29467821.430101171</v>
      </c>
      <c r="E167" s="1">
        <f t="shared" si="16"/>
        <v>100130890.99548644</v>
      </c>
      <c r="F167" s="1">
        <f t="shared" si="18"/>
        <v>1452686191.5374391</v>
      </c>
    </row>
    <row r="168" spans="1:6" x14ac:dyDescent="0.35">
      <c r="A168" s="1">
        <f t="shared" si="17"/>
        <v>166000000</v>
      </c>
      <c r="B168">
        <f t="shared" si="13"/>
        <v>473139.10868543829</v>
      </c>
      <c r="C168" s="1">
        <f t="shared" si="14"/>
        <v>64322258.229691677</v>
      </c>
      <c r="D168" s="1">
        <f t="shared" si="15"/>
        <v>-29990730.09598694</v>
      </c>
      <c r="E168" s="1">
        <f t="shared" si="16"/>
        <v>101279813.5912955</v>
      </c>
      <c r="F168" s="1">
        <f t="shared" si="18"/>
        <v>1455094472.0137525</v>
      </c>
    </row>
    <row r="169" spans="1:6" x14ac:dyDescent="0.35">
      <c r="A169" s="1">
        <f t="shared" si="17"/>
        <v>167000000</v>
      </c>
      <c r="B169">
        <f t="shared" si="13"/>
        <v>475384.23466261756</v>
      </c>
      <c r="C169" s="1">
        <f t="shared" si="14"/>
        <v>64876601.389228702</v>
      </c>
      <c r="D169" s="1">
        <f t="shared" si="15"/>
        <v>-30517211.974186927</v>
      </c>
      <c r="E169" s="1">
        <f t="shared" si="16"/>
        <v>102433035.84753701</v>
      </c>
      <c r="F169" s="1">
        <f t="shared" si="18"/>
        <v>1457497415.8498175</v>
      </c>
    </row>
    <row r="170" spans="1:6" x14ac:dyDescent="0.35">
      <c r="A170" s="1">
        <f t="shared" si="17"/>
        <v>168000000</v>
      </c>
      <c r="B170">
        <f t="shared" si="13"/>
        <v>477626.51501460263</v>
      </c>
      <c r="C170" s="1">
        <f t="shared" si="14"/>
        <v>65432369.687844515</v>
      </c>
      <c r="D170" s="1">
        <f t="shared" si="15"/>
        <v>-31047262.166953154</v>
      </c>
      <c r="E170" s="1">
        <f t="shared" si="16"/>
        <v>103590541.35994598</v>
      </c>
      <c r="F170" s="1">
        <f t="shared" si="18"/>
        <v>1459895069.8729856</v>
      </c>
    </row>
    <row r="171" spans="1:6" x14ac:dyDescent="0.35">
      <c r="A171" s="1">
        <f t="shared" si="17"/>
        <v>169000000</v>
      </c>
      <c r="B171">
        <f t="shared" si="13"/>
        <v>479865.97025446972</v>
      </c>
      <c r="C171" s="1">
        <f t="shared" si="14"/>
        <v>65989558.273657151</v>
      </c>
      <c r="D171" s="1">
        <f t="shared" si="15"/>
        <v>-31580875.822403669</v>
      </c>
      <c r="E171" s="1">
        <f t="shared" si="16"/>
        <v>104752313.88994044</v>
      </c>
      <c r="F171" s="1">
        <f t="shared" si="18"/>
        <v>1462287480.169564</v>
      </c>
    </row>
    <row r="172" spans="1:6" x14ac:dyDescent="0.35">
      <c r="A172" s="1">
        <f t="shared" si="17"/>
        <v>170000000</v>
      </c>
      <c r="B172">
        <f t="shared" si="13"/>
        <v>482102.62062699202</v>
      </c>
      <c r="C172" s="1">
        <f t="shared" si="14"/>
        <v>66548162.339951217</v>
      </c>
      <c r="D172" s="1">
        <f t="shared" si="15"/>
        <v>-32118048.133823082</v>
      </c>
      <c r="E172" s="1">
        <f t="shared" si="16"/>
        <v>105918337.36193851</v>
      </c>
      <c r="F172" s="1">
        <f t="shared" si="18"/>
        <v>1464674692.1022158</v>
      </c>
    </row>
    <row r="173" spans="1:6" x14ac:dyDescent="0.35">
      <c r="A173" s="1">
        <f t="shared" si="17"/>
        <v>171000000</v>
      </c>
      <c r="B173">
        <f t="shared" si="13"/>
        <v>484336.48611370358</v>
      </c>
      <c r="C173" s="1">
        <f t="shared" si="14"/>
        <v>67108177.124493934</v>
      </c>
      <c r="D173" s="1">
        <f t="shared" si="15"/>
        <v>-32658774.338978618</v>
      </c>
      <c r="E173" s="1">
        <f t="shared" si="16"/>
        <v>107088595.86073698</v>
      </c>
      <c r="F173" s="1">
        <f t="shared" si="18"/>
        <v>1467056750.3267903</v>
      </c>
    </row>
    <row r="174" spans="1:6" x14ac:dyDescent="0.35">
      <c r="A174" s="1">
        <f t="shared" si="17"/>
        <v>172000000</v>
      </c>
      <c r="B174">
        <f t="shared" si="13"/>
        <v>486567.58643784502</v>
      </c>
      <c r="C174" s="1">
        <f t="shared" si="14"/>
        <v>67669597.908865869</v>
      </c>
      <c r="D174" s="1">
        <f t="shared" si="15"/>
        <v>-33203049.719450824</v>
      </c>
      <c r="E174" s="1">
        <f t="shared" si="16"/>
        <v>108263073.62894757</v>
      </c>
      <c r="F174" s="1">
        <f t="shared" si="18"/>
        <v>1469433698.8086095</v>
      </c>
    </row>
    <row r="175" spans="1:6" x14ac:dyDescent="0.35">
      <c r="A175" s="1">
        <f t="shared" si="17"/>
        <v>173000000</v>
      </c>
      <c r="B175">
        <f t="shared" si="13"/>
        <v>488795.94106918306</v>
      </c>
      <c r="C175" s="1">
        <f t="shared" si="14"/>
        <v>68232420.017804995</v>
      </c>
      <c r="D175" s="1">
        <f t="shared" si="15"/>
        <v>-33750869.599977702</v>
      </c>
      <c r="E175" s="1">
        <f t="shared" si="16"/>
        <v>109441755.06448849</v>
      </c>
      <c r="F175" s="1">
        <f t="shared" si="18"/>
        <v>1471805580.8382318</v>
      </c>
    </row>
    <row r="176" spans="1:6" x14ac:dyDescent="0.35">
      <c r="A176" s="1">
        <f t="shared" si="17"/>
        <v>174000000</v>
      </c>
      <c r="B176">
        <f t="shared" si="13"/>
        <v>491021.56922870781</v>
      </c>
      <c r="C176" s="1">
        <f t="shared" si="14"/>
        <v>68796638.818563983</v>
      </c>
      <c r="D176" s="1">
        <f t="shared" si="15"/>
        <v>-34302229.347811893</v>
      </c>
      <c r="E176" s="1">
        <f t="shared" si="16"/>
        <v>110624624.71813047</v>
      </c>
      <c r="F176" s="1">
        <f t="shared" si="18"/>
        <v>1474172439.0467215</v>
      </c>
    </row>
    <row r="177" spans="1:6" x14ac:dyDescent="0.35">
      <c r="A177" s="1">
        <f t="shared" si="17"/>
        <v>175000000</v>
      </c>
      <c r="B177">
        <f t="shared" si="13"/>
        <v>493244.48989323108</v>
      </c>
      <c r="C177" s="1">
        <f t="shared" si="14"/>
        <v>69362249.720281765</v>
      </c>
      <c r="D177" s="1">
        <f t="shared" si="15"/>
        <v>-34857124.372092351</v>
      </c>
      <c r="E177" s="1">
        <f t="shared" si="16"/>
        <v>111811667.29109643</v>
      </c>
      <c r="F177" s="1">
        <f t="shared" si="18"/>
        <v>1476534315.4204385</v>
      </c>
    </row>
    <row r="178" spans="1:6" x14ac:dyDescent="0.35">
      <c r="A178" s="1">
        <f t="shared" si="17"/>
        <v>176000000</v>
      </c>
      <c r="B178">
        <f t="shared" si="13"/>
        <v>495464.72179985797</v>
      </c>
      <c r="C178" s="1">
        <f t="shared" si="14"/>
        <v>69929248.173366979</v>
      </c>
      <c r="D178" s="1">
        <f t="shared" si="15"/>
        <v>-35415550.123227701</v>
      </c>
      <c r="E178" s="1">
        <f t="shared" si="16"/>
        <v>113002867.63271259</v>
      </c>
      <c r="F178" s="1">
        <f t="shared" si="18"/>
        <v>1478891251.3153734</v>
      </c>
    </row>
    <row r="179" spans="1:6" x14ac:dyDescent="0.35">
      <c r="A179" s="1">
        <f t="shared" si="17"/>
        <v>177000000</v>
      </c>
      <c r="B179">
        <f t="shared" si="13"/>
        <v>497682.28345036402</v>
      </c>
      <c r="C179" s="1">
        <f t="shared" si="14"/>
        <v>70497629.668894678</v>
      </c>
      <c r="D179" s="1">
        <f t="shared" si="15"/>
        <v>-35977502.092293009</v>
      </c>
      <c r="E179" s="1">
        <f t="shared" si="16"/>
        <v>114198210.73810996</v>
      </c>
      <c r="F179" s="1">
        <f t="shared" si="18"/>
        <v>1481243287.4710445</v>
      </c>
    </row>
    <row r="180" spans="1:6" x14ac:dyDescent="0.35">
      <c r="A180" s="1">
        <f t="shared" si="17"/>
        <v>178000000</v>
      </c>
      <c r="B180">
        <f t="shared" si="13"/>
        <v>499897.19311545679</v>
      </c>
      <c r="C180" s="1">
        <f t="shared" si="14"/>
        <v>71067389.738014206</v>
      </c>
      <c r="D180" s="1">
        <f t="shared" si="15"/>
        <v>-36542975.810437612</v>
      </c>
      <c r="E180" s="1">
        <f t="shared" si="16"/>
        <v>115397681.74597347</v>
      </c>
      <c r="F180" s="1">
        <f t="shared" si="18"/>
        <v>1483590464.0239747</v>
      </c>
    </row>
    <row r="181" spans="1:6" x14ac:dyDescent="0.35">
      <c r="A181" s="1">
        <f t="shared" si="17"/>
        <v>179000000</v>
      </c>
      <c r="B181">
        <f t="shared" si="13"/>
        <v>502109.46883894998</v>
      </c>
      <c r="C181" s="1">
        <f t="shared" si="14"/>
        <v>71638523.951370284</v>
      </c>
      <c r="D181" s="1">
        <f t="shared" si="15"/>
        <v>-37111966.848306216</v>
      </c>
      <c r="E181" s="1">
        <f t="shared" si="16"/>
        <v>116601265.93634042</v>
      </c>
      <c r="F181" s="1">
        <f t="shared" si="18"/>
        <v>1485932820.5207667</v>
      </c>
    </row>
    <row r="182" spans="1:6" x14ac:dyDescent="0.35">
      <c r="A182" s="1">
        <f t="shared" si="17"/>
        <v>180000000</v>
      </c>
      <c r="B182">
        <f t="shared" si="13"/>
        <v>504319.12844182813</v>
      </c>
      <c r="C182" s="1">
        <f t="shared" si="14"/>
        <v>72211027.91853483</v>
      </c>
      <c r="D182" s="1">
        <f t="shared" si="15"/>
        <v>-37684470.815470763</v>
      </c>
      <c r="E182" s="1">
        <f t="shared" si="16"/>
        <v>117808948.72844434</v>
      </c>
      <c r="F182" s="1">
        <f t="shared" si="18"/>
        <v>1488270395.9307911</v>
      </c>
    </row>
    <row r="183" spans="1:6" x14ac:dyDescent="0.35">
      <c r="A183" s="1">
        <f t="shared" si="17"/>
        <v>181000000</v>
      </c>
      <c r="B183">
        <f t="shared" si="13"/>
        <v>506526.18952621869</v>
      </c>
      <c r="C183" s="1">
        <f t="shared" si="14"/>
        <v>72784897.287449673</v>
      </c>
      <c r="D183" s="1">
        <f t="shared" si="15"/>
        <v>-38260483.359873071</v>
      </c>
      <c r="E183" s="1">
        <f t="shared" si="16"/>
        <v>119020715.67860268</v>
      </c>
      <c r="F183" s="1">
        <f t="shared" si="18"/>
        <v>1490603228.6585031</v>
      </c>
    </row>
    <row r="184" spans="1:6" x14ac:dyDescent="0.35">
      <c r="A184" s="1">
        <f t="shared" si="17"/>
        <v>182000000</v>
      </c>
      <c r="B184">
        <f t="shared" si="13"/>
        <v>508730.66947927681</v>
      </c>
      <c r="C184" s="1">
        <f t="shared" si="14"/>
        <v>73360127.743881598</v>
      </c>
      <c r="D184" s="1">
        <f t="shared" si="15"/>
        <v>-38840000.167279929</v>
      </c>
      <c r="E184" s="1">
        <f t="shared" si="16"/>
        <v>120236552.47815096</v>
      </c>
      <c r="F184" s="1">
        <f t="shared" si="18"/>
        <v>1492931356.5554013</v>
      </c>
    </row>
    <row r="185" spans="1:6" x14ac:dyDescent="0.35">
      <c r="A185" s="1">
        <f t="shared" si="17"/>
        <v>183000000</v>
      </c>
      <c r="B185">
        <f t="shared" si="13"/>
        <v>510932.58547697822</v>
      </c>
      <c r="C185" s="1">
        <f t="shared" si="14"/>
        <v>73936715.010887042</v>
      </c>
      <c r="D185" s="1">
        <f t="shared" si="15"/>
        <v>-39423016.960747764</v>
      </c>
      <c r="E185" s="1">
        <f t="shared" si="16"/>
        <v>121456444.95141734</v>
      </c>
      <c r="F185" s="1">
        <f t="shared" si="18"/>
        <v>1495254816.9316456</v>
      </c>
    </row>
    <row r="186" spans="1:6" x14ac:dyDescent="0.35">
      <c r="A186" s="1">
        <f t="shared" si="17"/>
        <v>184000000</v>
      </c>
      <c r="B186">
        <f t="shared" si="13"/>
        <v>513131.95448781806</v>
      </c>
      <c r="C186" s="1">
        <f t="shared" si="14"/>
        <v>74514654.84828724</v>
      </c>
      <c r="D186" s="1">
        <f t="shared" si="15"/>
        <v>-40009529.500097826</v>
      </c>
      <c r="E186" s="1">
        <f t="shared" si="16"/>
        <v>122680379.05373941</v>
      </c>
      <c r="F186" s="1">
        <f t="shared" si="18"/>
        <v>1497573646.5673423</v>
      </c>
    </row>
    <row r="187" spans="1:6" x14ac:dyDescent="0.35">
      <c r="A187" s="1">
        <f t="shared" si="17"/>
        <v>185000000</v>
      </c>
      <c r="B187">
        <f t="shared" si="13"/>
        <v>515328.79327643279</v>
      </c>
      <c r="C187" s="1">
        <f t="shared" si="14"/>
        <v>75093943.052154198</v>
      </c>
      <c r="D187" s="1">
        <f t="shared" si="15"/>
        <v>-40599533.581402108</v>
      </c>
      <c r="E187" s="1">
        <f t="shared" si="16"/>
        <v>123908340.86952214</v>
      </c>
      <c r="F187" s="1">
        <f t="shared" si="18"/>
        <v>1499887881.7235119</v>
      </c>
    </row>
    <row r="188" spans="1:6" x14ac:dyDescent="0.35">
      <c r="A188" s="1">
        <f t="shared" si="17"/>
        <v>186000000</v>
      </c>
      <c r="B188">
        <f t="shared" si="13"/>
        <v>517523.11840714235</v>
      </c>
      <c r="C188" s="1">
        <f t="shared" si="14"/>
        <v>75674575.454306185</v>
      </c>
      <c r="D188" s="1">
        <f t="shared" si="15"/>
        <v>-41193025.036478885</v>
      </c>
      <c r="E188" s="1">
        <f t="shared" si="16"/>
        <v>125140316.61033395</v>
      </c>
      <c r="F188" s="1">
        <f t="shared" si="18"/>
        <v>1502197558.1527524</v>
      </c>
    </row>
    <row r="189" spans="1:6" x14ac:dyDescent="0.35">
      <c r="A189" s="1">
        <f t="shared" si="17"/>
        <v>187000000</v>
      </c>
      <c r="B189">
        <f t="shared" si="13"/>
        <v>519714.94624739967</v>
      </c>
      <c r="C189" s="1">
        <f t="shared" si="14"/>
        <v>76256547.921813175</v>
      </c>
      <c r="D189" s="1">
        <f t="shared" si="15"/>
        <v>-41789999.732398137</v>
      </c>
      <c r="E189" s="1">
        <f t="shared" si="16"/>
        <v>126376292.61304346</v>
      </c>
      <c r="F189" s="1">
        <f t="shared" si="18"/>
        <v>1504502711.1096046</v>
      </c>
    </row>
    <row r="190" spans="1:6" x14ac:dyDescent="0.35">
      <c r="A190" s="1">
        <f t="shared" si="17"/>
        <v>188000000</v>
      </c>
      <c r="B190">
        <f t="shared" si="13"/>
        <v>521904.29297117313</v>
      </c>
      <c r="C190" s="1">
        <f t="shared" si="14"/>
        <v>76839856.356511027</v>
      </c>
      <c r="D190" s="1">
        <f t="shared" si="15"/>
        <v>-42390453.570995703</v>
      </c>
      <c r="E190" s="1">
        <f t="shared" si="16"/>
        <v>127616255.33799028</v>
      </c>
      <c r="F190" s="1">
        <f t="shared" si="18"/>
        <v>1506803375.360636</v>
      </c>
    </row>
    <row r="191" spans="1:6" x14ac:dyDescent="0.35">
      <c r="A191" s="1">
        <f t="shared" si="17"/>
        <v>189000000</v>
      </c>
      <c r="B191">
        <f t="shared" si="13"/>
        <v>524091.17456225428</v>
      </c>
      <c r="C191" s="1">
        <f t="shared" si="14"/>
        <v>77424496.694526225</v>
      </c>
      <c r="D191" s="1">
        <f t="shared" si="15"/>
        <v>-42994382.488398097</v>
      </c>
      <c r="E191" s="1">
        <f t="shared" si="16"/>
        <v>128860191.36719592</v>
      </c>
      <c r="F191" s="1">
        <f t="shared" si="18"/>
        <v>1509099585.1942492</v>
      </c>
    </row>
    <row r="192" spans="1:6" x14ac:dyDescent="0.35">
      <c r="A192" s="1">
        <f t="shared" si="17"/>
        <v>190000000</v>
      </c>
      <c r="B192">
        <f t="shared" si="13"/>
        <v>526275.60681747971</v>
      </c>
      <c r="C192" s="1">
        <f t="shared" si="14"/>
        <v>78010464.905808002</v>
      </c>
      <c r="D192" s="1">
        <f t="shared" si="15"/>
        <v>-43601782.454554521</v>
      </c>
      <c r="E192" s="1">
        <f t="shared" si="16"/>
        <v>130108087.40260722</v>
      </c>
      <c r="F192" s="1">
        <f t="shared" si="18"/>
        <v>1511391374.4302254</v>
      </c>
    </row>
    <row r="193" spans="1:6" x14ac:dyDescent="0.35">
      <c r="A193" s="1">
        <f t="shared" si="17"/>
        <v>191000000</v>
      </c>
      <c r="B193">
        <f t="shared" si="13"/>
        <v>528457.60534989857</v>
      </c>
      <c r="C193" s="1">
        <f t="shared" si="14"/>
        <v>78597756.993671089</v>
      </c>
      <c r="D193" s="1">
        <f t="shared" si="15"/>
        <v>-44212649.472779721</v>
      </c>
      <c r="E193" s="1">
        <f t="shared" si="16"/>
        <v>131359930.26437747</v>
      </c>
      <c r="F193" s="1">
        <f t="shared" si="18"/>
        <v>1513678776.429014</v>
      </c>
    </row>
    <row r="194" spans="1:6" x14ac:dyDescent="0.35">
      <c r="A194" s="1">
        <f t="shared" si="17"/>
        <v>192000000</v>
      </c>
      <c r="B194">
        <f t="shared" ref="B194:B257" si="19">$M$3*A194^$M$4</f>
        <v>530637.18559185322</v>
      </c>
      <c r="C194" s="1">
        <f t="shared" ref="C194:C257" si="20">$M$7*A194*B194^$M$8</f>
        <v>79186368.994344816</v>
      </c>
      <c r="D194" s="1">
        <f t="shared" ref="D194:D257" si="21">$M$1*A194*(1-A194/$M$2)-C194</f>
        <v>-44826979.579303034</v>
      </c>
      <c r="E194" s="1">
        <f t="shared" ref="E194:E257" si="22">$M$5*C194-$M$6*B194</f>
        <v>132615706.88917749</v>
      </c>
      <c r="F194" s="1">
        <f t="shared" si="18"/>
        <v>1515961824.1007748</v>
      </c>
    </row>
    <row r="195" spans="1:6" x14ac:dyDescent="0.35">
      <c r="A195" s="1">
        <f t="shared" si="17"/>
        <v>193000000</v>
      </c>
      <c r="B195">
        <f t="shared" si="19"/>
        <v>532814.36279800721</v>
      </c>
      <c r="C195" s="1">
        <f t="shared" si="20"/>
        <v>79776296.9765331</v>
      </c>
      <c r="D195" s="1">
        <f t="shared" si="21"/>
        <v>-45444768.842828363</v>
      </c>
      <c r="E195" s="1">
        <f t="shared" si="22"/>
        <v>133875404.32854427</v>
      </c>
      <c r="F195" s="1">
        <f t="shared" si="18"/>
        <v>1518240549.9141831</v>
      </c>
    </row>
    <row r="196" spans="1:6" x14ac:dyDescent="0.35">
      <c r="A196" s="1">
        <f t="shared" ref="A196:A259" si="23">A195+1000000</f>
        <v>194000000</v>
      </c>
      <c r="B196">
        <f t="shared" si="19"/>
        <v>534989.15204829455</v>
      </c>
      <c r="C196" s="1">
        <f t="shared" si="20"/>
        <v>80367537.04098022</v>
      </c>
      <c r="D196" s="1">
        <f t="shared" si="21"/>
        <v>-46066013.364099994</v>
      </c>
      <c r="E196" s="1">
        <f t="shared" si="22"/>
        <v>135139009.74725753</v>
      </c>
      <c r="F196" s="1">
        <f t="shared" si="18"/>
        <v>1520514985.9050047</v>
      </c>
    </row>
    <row r="197" spans="1:6" x14ac:dyDescent="0.35">
      <c r="A197" s="1">
        <f t="shared" si="23"/>
        <v>195000000</v>
      </c>
      <c r="B197">
        <f t="shared" si="19"/>
        <v>537161.5682508176</v>
      </c>
      <c r="C197" s="1">
        <f t="shared" si="20"/>
        <v>80960085.320046499</v>
      </c>
      <c r="D197" s="1">
        <f t="shared" si="21"/>
        <v>-46690709.275478259</v>
      </c>
      <c r="E197" s="1">
        <f t="shared" si="22"/>
        <v>136406510.42175046</v>
      </c>
      <c r="F197" s="1">
        <f t="shared" si="18"/>
        <v>1522785163.6844482</v>
      </c>
    </row>
    <row r="198" spans="1:6" x14ac:dyDescent="0.35">
      <c r="A198" s="1">
        <f t="shared" si="23"/>
        <v>196000000</v>
      </c>
      <c r="B198">
        <f t="shared" si="19"/>
        <v>539331.62614467042</v>
      </c>
      <c r="C198" s="1">
        <f t="shared" si="20"/>
        <v>81553937.977290437</v>
      </c>
      <c r="D198" s="1">
        <f t="shared" si="21"/>
        <v>-47318852.740521632</v>
      </c>
      <c r="E198" s="1">
        <f t="shared" si="22"/>
        <v>137677893.73854962</v>
      </c>
      <c r="F198" s="1">
        <f t="shared" si="18"/>
        <v>1525051114.4473042</v>
      </c>
    </row>
    <row r="199" spans="1:6" x14ac:dyDescent="0.35">
      <c r="A199" s="1">
        <f t="shared" si="23"/>
        <v>197000000</v>
      </c>
      <c r="B199">
        <f t="shared" si="19"/>
        <v>541499.34030270868</v>
      </c>
      <c r="C199" s="1">
        <f t="shared" si="20"/>
        <v>82149091.207059383</v>
      </c>
      <c r="D199" s="1">
        <f t="shared" si="21"/>
        <v>-47950439.953577489</v>
      </c>
      <c r="E199" s="1">
        <f t="shared" si="22"/>
        <v>138953147.19274592</v>
      </c>
      <c r="F199" s="1">
        <f t="shared" si="18"/>
        <v>1527312868.9798758</v>
      </c>
    </row>
    <row r="200" spans="1:6" x14ac:dyDescent="0.35">
      <c r="A200" s="1">
        <f t="shared" si="23"/>
        <v>198000000</v>
      </c>
      <c r="B200">
        <f t="shared" si="19"/>
        <v>543664.72513425827</v>
      </c>
      <c r="C200" s="1">
        <f t="shared" si="20"/>
        <v>82745541.234086737</v>
      </c>
      <c r="D200" s="1">
        <f t="shared" si="21"/>
        <v>-48585467.139379218</v>
      </c>
      <c r="E200" s="1">
        <f t="shared" si="22"/>
        <v>140232258.38649267</v>
      </c>
      <c r="F200" s="1">
        <f t="shared" si="18"/>
        <v>1529570457.6677077</v>
      </c>
    </row>
    <row r="201" spans="1:6" x14ac:dyDescent="0.35">
      <c r="A201" s="1">
        <f t="shared" si="23"/>
        <v>199000000</v>
      </c>
      <c r="B201">
        <f t="shared" si="19"/>
        <v>545827.7948877702</v>
      </c>
      <c r="C201" s="1">
        <f t="shared" si="20"/>
        <v>83343284.313097671</v>
      </c>
      <c r="D201" s="1">
        <f t="shared" si="21"/>
        <v>-49223930.552651986</v>
      </c>
      <c r="E201" s="1">
        <f t="shared" si="22"/>
        <v>141515215.02753487</v>
      </c>
      <c r="F201" s="1">
        <f t="shared" si="18"/>
        <v>1531823910.5031235</v>
      </c>
    </row>
    <row r="202" spans="1:6" x14ac:dyDescent="0.35">
      <c r="A202" s="1">
        <f t="shared" si="23"/>
        <v>200000000</v>
      </c>
      <c r="B202">
        <f t="shared" si="19"/>
        <v>547988.56365340459</v>
      </c>
      <c r="C202" s="1">
        <f t="shared" si="20"/>
        <v>83942316.728420064</v>
      </c>
      <c r="D202" s="1">
        <f t="shared" si="21"/>
        <v>-49865826.477723688</v>
      </c>
      <c r="E202" s="1">
        <f t="shared" si="22"/>
        <v>142802004.92776328</v>
      </c>
      <c r="F202" s="1">
        <f t="shared" si="18"/>
        <v>1534073257.092572</v>
      </c>
    </row>
    <row r="203" spans="1:6" x14ac:dyDescent="0.35">
      <c r="A203" s="1">
        <f t="shared" si="23"/>
        <v>201000000</v>
      </c>
      <c r="B203">
        <f t="shared" si="19"/>
        <v>550147.04536558641</v>
      </c>
      <c r="C203" s="1">
        <f t="shared" si="20"/>
        <v>84542634.793604776</v>
      </c>
      <c r="D203" s="1">
        <f t="shared" si="21"/>
        <v>-50511151.228145167</v>
      </c>
      <c r="E203" s="1">
        <f t="shared" si="22"/>
        <v>144092616.00179818</v>
      </c>
      <c r="F203" s="1">
        <f t="shared" si="18"/>
        <v>1536318526.663794</v>
      </c>
    </row>
    <row r="204" spans="1:6" x14ac:dyDescent="0.35">
      <c r="A204" s="1">
        <f t="shared" si="23"/>
        <v>202000000</v>
      </c>
      <c r="B204">
        <f t="shared" si="19"/>
        <v>552303.25380548276</v>
      </c>
      <c r="C204" s="1">
        <f t="shared" si="20"/>
        <v>85144234.851050556</v>
      </c>
      <c r="D204" s="1">
        <f t="shared" si="21"/>
        <v>-51159901.146315187</v>
      </c>
      <c r="E204" s="1">
        <f t="shared" si="22"/>
        <v>145387036.26559764</v>
      </c>
      <c r="F204" s="1">
        <f t="shared" si="18"/>
        <v>1538559748.0728111</v>
      </c>
    </row>
    <row r="205" spans="1:6" x14ac:dyDescent="0.35">
      <c r="A205" s="1">
        <f t="shared" si="23"/>
        <v>203000000</v>
      </c>
      <c r="B205">
        <f t="shared" si="19"/>
        <v>554457.20260344073</v>
      </c>
      <c r="C205" s="1">
        <f t="shared" si="20"/>
        <v>85747113.271636695</v>
      </c>
      <c r="D205" s="1">
        <f t="shared" si="21"/>
        <v>-51812072.603113018</v>
      </c>
      <c r="E205" s="1">
        <f t="shared" si="22"/>
        <v>146685253.83509266</v>
      </c>
      <c r="F205" s="1">
        <f t="shared" si="18"/>
        <v>1540796949.810745</v>
      </c>
    </row>
    <row r="206" spans="1:6" x14ac:dyDescent="0.35">
      <c r="A206" s="1">
        <f t="shared" si="23"/>
        <v>204000000</v>
      </c>
      <c r="B206">
        <f t="shared" si="19"/>
        <v>556608.90524137416</v>
      </c>
      <c r="C206" s="1">
        <f t="shared" si="20"/>
        <v>86351266.454362229</v>
      </c>
      <c r="D206" s="1">
        <f t="shared" si="21"/>
        <v>-52467661.997537717</v>
      </c>
      <c r="E206" s="1">
        <f t="shared" si="22"/>
        <v>147987256.92484778</v>
      </c>
      <c r="F206" s="1">
        <f t="shared" si="18"/>
        <v>1543030160.0104702</v>
      </c>
    </row>
    <row r="207" spans="1:6" x14ac:dyDescent="0.35">
      <c r="A207" s="1">
        <f t="shared" si="23"/>
        <v>205000000</v>
      </c>
      <c r="B207">
        <f t="shared" si="19"/>
        <v>558758.37505509518</v>
      </c>
      <c r="C207" s="1">
        <f t="shared" si="20"/>
        <v>86956690.825990275</v>
      </c>
      <c r="D207" s="1">
        <f t="shared" si="21"/>
        <v>-53126665.756352395</v>
      </c>
      <c r="E207" s="1">
        <f t="shared" si="22"/>
        <v>149293033.84674421</v>
      </c>
      <c r="F207" s="1">
        <f t="shared" si="18"/>
        <v>1545259406.4531076</v>
      </c>
    </row>
    <row r="208" spans="1:6" x14ac:dyDescent="0.35">
      <c r="A208" s="1">
        <f t="shared" si="23"/>
        <v>206000000</v>
      </c>
      <c r="B208">
        <f t="shared" si="19"/>
        <v>560905.62523660879</v>
      </c>
      <c r="C208" s="1">
        <f t="shared" si="20"/>
        <v>87563382.840700418</v>
      </c>
      <c r="D208" s="1">
        <f t="shared" si="21"/>
        <v>-53789080.333736628</v>
      </c>
      <c r="E208" s="1">
        <f t="shared" si="22"/>
        <v>150602573.00869</v>
      </c>
      <c r="F208" s="1">
        <f t="shared" si="18"/>
        <v>1547484716.574362</v>
      </c>
    </row>
    <row r="209" spans="1:6" x14ac:dyDescent="0.35">
      <c r="A209" s="1">
        <f t="shared" si="23"/>
        <v>207000000</v>
      </c>
      <c r="B209">
        <f t="shared" si="19"/>
        <v>563050.66883634555</v>
      </c>
      <c r="C209" s="1">
        <f t="shared" si="20"/>
        <v>88171338.979745552</v>
      </c>
      <c r="D209" s="1">
        <f t="shared" si="21"/>
        <v>-54454902.210943319</v>
      </c>
      <c r="E209" s="1">
        <f t="shared" si="22"/>
        <v>151915862.91335213</v>
      </c>
      <c r="F209" s="1">
        <f t="shared" si="18"/>
        <v>1549706117.4707088</v>
      </c>
    </row>
    <row r="210" spans="1:6" x14ac:dyDescent="0.35">
      <c r="A210" s="1">
        <f t="shared" si="23"/>
        <v>208000000</v>
      </c>
      <c r="B210">
        <f t="shared" si="19"/>
        <v>565193.51876536722</v>
      </c>
      <c r="C210" s="1">
        <f t="shared" si="20"/>
        <v>88780555.751115501</v>
      </c>
      <c r="D210" s="1">
        <f t="shared" si="21"/>
        <v>-55124127.895962298</v>
      </c>
      <c r="E210" s="1">
        <f t="shared" si="22"/>
        <v>153232892.15691066</v>
      </c>
      <c r="F210" s="1">
        <f t="shared" si="18"/>
        <v>1551923635.9054348</v>
      </c>
    </row>
    <row r="211" spans="1:6" x14ac:dyDescent="0.35">
      <c r="A211" s="1">
        <f t="shared" si="23"/>
        <v>209000000</v>
      </c>
      <c r="B211">
        <f t="shared" si="19"/>
        <v>567334.18779750692</v>
      </c>
      <c r="C211" s="1">
        <f t="shared" si="20"/>
        <v>89391029.689205974</v>
      </c>
      <c r="D211" s="1">
        <f t="shared" si="21"/>
        <v>-55796753.92318926</v>
      </c>
      <c r="E211" s="1">
        <f t="shared" si="22"/>
        <v>154553649.42783761</v>
      </c>
      <c r="F211" s="1">
        <f t="shared" si="18"/>
        <v>1554137298.3145378</v>
      </c>
    </row>
    <row r="212" spans="1:6" x14ac:dyDescent="0.35">
      <c r="A212" s="1">
        <f t="shared" si="23"/>
        <v>210000000</v>
      </c>
      <c r="B212">
        <f t="shared" si="19"/>
        <v>569472.68857148406</v>
      </c>
      <c r="C212" s="1">
        <f t="shared" si="20"/>
        <v>90002757.35449338</v>
      </c>
      <c r="D212" s="1">
        <f t="shared" si="21"/>
        <v>-56472776.853100628</v>
      </c>
      <c r="E212" s="1">
        <f t="shared" si="22"/>
        <v>155878123.50569507</v>
      </c>
      <c r="F212" s="1">
        <f t="shared" si="18"/>
        <v>1556347130.8124869</v>
      </c>
    </row>
    <row r="213" spans="1:6" x14ac:dyDescent="0.35">
      <c r="A213" s="1">
        <f t="shared" si="23"/>
        <v>211000000</v>
      </c>
      <c r="B213">
        <f t="shared" si="19"/>
        <v>571609.03359296871</v>
      </c>
      <c r="C213" s="1">
        <f t="shared" si="20"/>
        <v>90615735.333215222</v>
      </c>
      <c r="D213" s="1">
        <f t="shared" si="21"/>
        <v>-57152193.271933883</v>
      </c>
      <c r="E213" s="1">
        <f t="shared" si="22"/>
        <v>157206303.2599569</v>
      </c>
      <c r="F213" s="1">
        <f t="shared" si="18"/>
        <v>1558553159.1978512</v>
      </c>
    </row>
    <row r="214" spans="1:6" x14ac:dyDescent="0.35">
      <c r="A214" s="1">
        <f t="shared" si="23"/>
        <v>212000000</v>
      </c>
      <c r="B214">
        <f t="shared" si="19"/>
        <v>573743.23523660342</v>
      </c>
      <c r="C214" s="1">
        <f t="shared" si="20"/>
        <v>91229960.237056121</v>
      </c>
      <c r="D214" s="1">
        <f t="shared" si="21"/>
        <v>-57834999.79137367</v>
      </c>
      <c r="E214" s="1">
        <f t="shared" si="22"/>
        <v>158538177.64885122</v>
      </c>
      <c r="F214" s="1">
        <f t="shared" si="18"/>
        <v>1560755408.9587977</v>
      </c>
    </row>
    <row r="215" spans="1:6" x14ac:dyDescent="0.35">
      <c r="A215" s="1">
        <f t="shared" si="23"/>
        <v>213000000</v>
      </c>
      <c r="B215">
        <f t="shared" si="19"/>
        <v>575875.30574799108</v>
      </c>
      <c r="C215" s="1">
        <f t="shared" si="20"/>
        <v>91845428.702838391</v>
      </c>
      <c r="D215" s="1">
        <f t="shared" si="21"/>
        <v>-58521193.048242293</v>
      </c>
      <c r="E215" s="1">
        <f t="shared" si="22"/>
        <v>159873735.71822104</v>
      </c>
      <c r="F215" s="1">
        <f t="shared" si="18"/>
        <v>1562953905.2784641</v>
      </c>
    </row>
    <row r="216" spans="1:6" x14ac:dyDescent="0.35">
      <c r="A216" s="1">
        <f t="shared" si="23"/>
        <v>214000000</v>
      </c>
      <c r="B216">
        <f t="shared" si="19"/>
        <v>578005.25724563515</v>
      </c>
      <c r="C216" s="1">
        <f t="shared" si="20"/>
        <v>92462137.392218456</v>
      </c>
      <c r="D216" s="1">
        <f t="shared" si="21"/>
        <v>-59210769.70419617</v>
      </c>
      <c r="E216" s="1">
        <f t="shared" si="22"/>
        <v>161212966.60040766</v>
      </c>
      <c r="F216" s="1">
        <f t="shared" si="18"/>
        <v>1565148673.0402083</v>
      </c>
    </row>
    <row r="217" spans="1:6" x14ac:dyDescent="0.35">
      <c r="A217" s="1">
        <f t="shared" si="23"/>
        <v>215000000</v>
      </c>
      <c r="B217">
        <f t="shared" si="19"/>
        <v>580133.10172285163</v>
      </c>
      <c r="C217" s="1">
        <f t="shared" si="20"/>
        <v>93080082.991388485</v>
      </c>
      <c r="D217" s="1">
        <f t="shared" si="21"/>
        <v>-59903726.445427477</v>
      </c>
      <c r="E217" s="1">
        <f t="shared" si="22"/>
        <v>162555859.51315266</v>
      </c>
      <c r="F217" s="1">
        <f t="shared" si="18"/>
        <v>1567339736.8327408</v>
      </c>
    </row>
    <row r="218" spans="1:6" x14ac:dyDescent="0.35">
      <c r="A218" s="1">
        <f t="shared" si="23"/>
        <v>216000000</v>
      </c>
      <c r="B218">
        <f t="shared" si="19"/>
        <v>582258.85104963393</v>
      </c>
      <c r="C218" s="1">
        <f t="shared" si="20"/>
        <v>93699262.21078223</v>
      </c>
      <c r="D218" s="1">
        <f t="shared" si="21"/>
        <v>-60600059.982369974</v>
      </c>
      <c r="E218" s="1">
        <f t="shared" si="22"/>
        <v>163902403.75851804</v>
      </c>
      <c r="F218" s="1">
        <f t="shared" ref="F218:F281" si="24">F217+($M$9*F217-E218)/D218*(A218-A217)</f>
        <v>1569527120.9551399</v>
      </c>
    </row>
    <row r="219" spans="1:6" x14ac:dyDescent="0.35">
      <c r="A219" s="1">
        <f t="shared" si="23"/>
        <v>217000000</v>
      </c>
      <c r="B219">
        <f t="shared" si="19"/>
        <v>584382.51697448443</v>
      </c>
      <c r="C219" s="1">
        <f t="shared" si="20"/>
        <v>94319671.784785926</v>
      </c>
      <c r="D219" s="1">
        <f t="shared" si="21"/>
        <v>-61299767.049409881</v>
      </c>
      <c r="E219" s="1">
        <f t="shared" si="22"/>
        <v>165252588.7218259</v>
      </c>
      <c r="F219" s="1">
        <f t="shared" si="24"/>
        <v>1571710849.4217558</v>
      </c>
    </row>
    <row r="220" spans="1:6" x14ac:dyDescent="0.35">
      <c r="A220" s="1">
        <f t="shared" si="23"/>
        <v>218000000</v>
      </c>
      <c r="B220">
        <f t="shared" si="19"/>
        <v>586504.11112621869</v>
      </c>
      <c r="C220" s="1">
        <f t="shared" si="20"/>
        <v>94941308.471455246</v>
      </c>
      <c r="D220" s="1">
        <f t="shared" si="21"/>
        <v>-62002844.404602885</v>
      </c>
      <c r="E220" s="1">
        <f t="shared" si="22"/>
        <v>166606403.87061775</v>
      </c>
      <c r="F220" s="1">
        <f t="shared" si="24"/>
        <v>1573890945.9670064</v>
      </c>
    </row>
    <row r="221" spans="1:6" x14ac:dyDescent="0.35">
      <c r="A221" s="1">
        <f t="shared" si="23"/>
        <v>219000000</v>
      </c>
      <c r="B221">
        <f t="shared" si="19"/>
        <v>588623.64501572342</v>
      </c>
      <c r="C221" s="1">
        <f t="shared" si="20"/>
        <v>95564169.052234903</v>
      </c>
      <c r="D221" s="1">
        <f t="shared" si="21"/>
        <v>-62709288.829393677</v>
      </c>
      <c r="E221" s="1">
        <f t="shared" si="22"/>
        <v>167963838.75362855</v>
      </c>
      <c r="F221" s="1">
        <f t="shared" si="24"/>
        <v>1576067434.0500655</v>
      </c>
    </row>
    <row r="222" spans="1:6" x14ac:dyDescent="0.35">
      <c r="A222" s="1">
        <f t="shared" si="23"/>
        <v>220000000</v>
      </c>
      <c r="B222">
        <f t="shared" si="19"/>
        <v>590741.13003768574</v>
      </c>
      <c r="C222" s="1">
        <f t="shared" si="20"/>
        <v>96188250.331684247</v>
      </c>
      <c r="D222" s="1">
        <f t="shared" si="21"/>
        <v>-63419097.12834163</v>
      </c>
      <c r="E222" s="1">
        <f t="shared" si="22"/>
        <v>169324882.99978155</v>
      </c>
      <c r="F222" s="1">
        <f t="shared" si="24"/>
        <v>1578240336.8594496</v>
      </c>
    </row>
    <row r="223" spans="1:6" x14ac:dyDescent="0.35">
      <c r="A223" s="1">
        <f t="shared" si="23"/>
        <v>221000000</v>
      </c>
      <c r="B223">
        <f t="shared" si="19"/>
        <v>592856.57747228269</v>
      </c>
      <c r="C223" s="1">
        <f t="shared" si="20"/>
        <v>96813549.137205958</v>
      </c>
      <c r="D223" s="1">
        <f t="shared" si="21"/>
        <v>-64132266.128849417</v>
      </c>
      <c r="E223" s="1">
        <f t="shared" si="22"/>
        <v>170689526.31719685</v>
      </c>
      <c r="F223" s="1">
        <f t="shared" si="24"/>
        <v>1580409677.3175037</v>
      </c>
    </row>
    <row r="224" spans="1:6" x14ac:dyDescent="0.35">
      <c r="A224" s="1">
        <f t="shared" si="23"/>
        <v>222000000</v>
      </c>
      <c r="B224">
        <f t="shared" si="19"/>
        <v>594969.99848686205</v>
      </c>
      <c r="C224" s="1">
        <f t="shared" si="20"/>
        <v>97440062.318782032</v>
      </c>
      <c r="D224" s="1">
        <f t="shared" si="21"/>
        <v>-64848792.680899024</v>
      </c>
      <c r="E224" s="1">
        <f t="shared" si="22"/>
        <v>172057758.49222159</v>
      </c>
      <c r="F224" s="1">
        <f t="shared" si="24"/>
        <v>1582575478.0847898</v>
      </c>
    </row>
    <row r="225" spans="1:6" x14ac:dyDescent="0.35">
      <c r="A225" s="1">
        <f t="shared" si="23"/>
        <v>223000000</v>
      </c>
      <c r="B225">
        <f t="shared" si="19"/>
        <v>597081.4041375526</v>
      </c>
      <c r="C225" s="1">
        <f t="shared" si="20"/>
        <v>98067786.74870941</v>
      </c>
      <c r="D225" s="1">
        <f t="shared" si="21"/>
        <v>-65568673.656787395</v>
      </c>
      <c r="E225" s="1">
        <f t="shared" si="22"/>
        <v>173429569.38846987</v>
      </c>
      <c r="F225" s="1">
        <f t="shared" si="24"/>
        <v>1584737761.5643809</v>
      </c>
    </row>
    <row r="226" spans="1:6" x14ac:dyDescent="0.35">
      <c r="A226" s="1">
        <f t="shared" si="23"/>
        <v>224000000</v>
      </c>
      <c r="B226">
        <f t="shared" si="19"/>
        <v>599190.80537087796</v>
      </c>
      <c r="C226" s="1">
        <f t="shared" si="20"/>
        <v>98696719.321344346</v>
      </c>
      <c r="D226" s="1">
        <f t="shared" si="21"/>
        <v>-66291905.950870812</v>
      </c>
      <c r="E226" s="1">
        <f t="shared" si="22"/>
        <v>174804948.94588542</v>
      </c>
      <c r="F226" s="1">
        <f t="shared" si="24"/>
        <v>1586896549.9060626</v>
      </c>
    </row>
    <row r="227" spans="1:6" x14ac:dyDescent="0.35">
      <c r="A227" s="1">
        <f t="shared" si="23"/>
        <v>225000000</v>
      </c>
      <c r="B227">
        <f t="shared" si="19"/>
        <v>601298.21302532789</v>
      </c>
      <c r="C227" s="1">
        <f t="shared" si="20"/>
        <v>99326856.952848464</v>
      </c>
      <c r="D227" s="1">
        <f t="shared" si="21"/>
        <v>-67018486.479310855</v>
      </c>
      <c r="E227" s="1">
        <f t="shared" si="22"/>
        <v>176183887.17981571</v>
      </c>
      <c r="F227" s="1">
        <f t="shared" si="24"/>
        <v>1589051865.0104449</v>
      </c>
    </row>
    <row r="228" spans="1:6" x14ac:dyDescent="0.35">
      <c r="A228" s="1">
        <f t="shared" si="23"/>
        <v>226000000</v>
      </c>
      <c r="B228">
        <f t="shared" si="19"/>
        <v>603403.63783289259</v>
      </c>
      <c r="C228" s="1">
        <f t="shared" si="20"/>
        <v>99958196.580938756</v>
      </c>
      <c r="D228" s="1">
        <f t="shared" si="21"/>
        <v>-67748412.179824561</v>
      </c>
      <c r="E228" s="1">
        <f t="shared" si="22"/>
        <v>177566374.18010211</v>
      </c>
      <c r="F228" s="1">
        <f t="shared" si="24"/>
        <v>1591203728.5329866</v>
      </c>
    </row>
    <row r="229" spans="1:6" x14ac:dyDescent="0.35">
      <c r="A229" s="1">
        <f t="shared" si="23"/>
        <v>227000000</v>
      </c>
      <c r="B229">
        <f t="shared" si="19"/>
        <v>605507.09042058082</v>
      </c>
      <c r="C229" s="1">
        <f t="shared" si="20"/>
        <v>100590735.16464296</v>
      </c>
      <c r="D229" s="1">
        <f t="shared" si="21"/>
        <v>-68481680.011439621</v>
      </c>
      <c r="E229" s="1">
        <f t="shared" si="22"/>
        <v>178952400.11018717</v>
      </c>
      <c r="F229" s="1">
        <f t="shared" si="24"/>
        <v>1593352161.8879356</v>
      </c>
    </row>
    <row r="230" spans="1:6" x14ac:dyDescent="0.35">
      <c r="A230" s="1">
        <f t="shared" si="23"/>
        <v>228000000</v>
      </c>
      <c r="B230">
        <f t="shared" si="19"/>
        <v>607608.58131190296</v>
      </c>
      <c r="C230" s="1">
        <f t="shared" si="20"/>
        <v>101224469.68405707</v>
      </c>
      <c r="D230" s="1">
        <f t="shared" si="21"/>
        <v>-69218286.954252049</v>
      </c>
      <c r="E230" s="1">
        <f t="shared" si="22"/>
        <v>180341955.20623296</v>
      </c>
      <c r="F230" s="1">
        <f t="shared" si="24"/>
        <v>1595497186.2521851</v>
      </c>
    </row>
    <row r="231" spans="1:6" x14ac:dyDescent="0.35">
      <c r="A231" s="1">
        <f t="shared" si="23"/>
        <v>229000000</v>
      </c>
      <c r="B231">
        <f t="shared" si="19"/>
        <v>609708.12092833046</v>
      </c>
      <c r="C231" s="1">
        <f t="shared" si="20"/>
        <v>101859397.14010869</v>
      </c>
      <c r="D231" s="1">
        <f t="shared" si="21"/>
        <v>-69958230.009189472</v>
      </c>
      <c r="E231" s="1">
        <f t="shared" si="22"/>
        <v>181735029.77625895</v>
      </c>
      <c r="F231" s="1">
        <f t="shared" si="24"/>
        <v>1597638822.5690494</v>
      </c>
    </row>
    <row r="232" spans="1:6" x14ac:dyDescent="0.35">
      <c r="A232" s="1">
        <f t="shared" si="23"/>
        <v>230000000</v>
      </c>
      <c r="B232">
        <f t="shared" si="19"/>
        <v>611805.71959072188</v>
      </c>
      <c r="C232" s="1">
        <f t="shared" si="20"/>
        <v>102495514.55432142</v>
      </c>
      <c r="D232" s="1">
        <f t="shared" si="21"/>
        <v>-70701506.197775453</v>
      </c>
      <c r="E232" s="1">
        <f t="shared" si="22"/>
        <v>183131614.19928741</v>
      </c>
      <c r="F232" s="1">
        <f t="shared" si="24"/>
        <v>1599777091.5519619</v>
      </c>
    </row>
    <row r="233" spans="1:6" x14ac:dyDescent="0.35">
      <c r="A233" s="1">
        <f t="shared" si="23"/>
        <v>231000000</v>
      </c>
      <c r="B233">
        <f t="shared" si="19"/>
        <v>613901.38752073108</v>
      </c>
      <c r="C233" s="1">
        <f t="shared" si="20"/>
        <v>103132818.96858579</v>
      </c>
      <c r="D233" s="1">
        <f t="shared" si="21"/>
        <v>-71448112.561900556</v>
      </c>
      <c r="E233" s="1">
        <f t="shared" si="22"/>
        <v>184531698.92450979</v>
      </c>
      <c r="F233" s="1">
        <f t="shared" si="24"/>
        <v>1601912013.688097</v>
      </c>
    </row>
    <row r="234" spans="1:6" x14ac:dyDescent="0.35">
      <c r="A234" s="1">
        <f t="shared" si="23"/>
        <v>232000000</v>
      </c>
      <c r="B234">
        <f t="shared" si="19"/>
        <v>615995.13484218228</v>
      </c>
      <c r="C234" s="1">
        <f t="shared" si="20"/>
        <v>103771307.44493112</v>
      </c>
      <c r="D234" s="1">
        <f t="shared" si="21"/>
        <v>-72198046.163594067</v>
      </c>
      <c r="E234" s="1">
        <f t="shared" si="22"/>
        <v>185935274.47046018</v>
      </c>
      <c r="F234" s="1">
        <f t="shared" si="24"/>
        <v>1604043609.2419155</v>
      </c>
    </row>
    <row r="235" spans="1:6" x14ac:dyDescent="0.35">
      <c r="A235" s="1">
        <f t="shared" si="23"/>
        <v>233000000</v>
      </c>
      <c r="B235">
        <f t="shared" si="19"/>
        <v>618086.97158243135</v>
      </c>
      <c r="C235" s="1">
        <f t="shared" si="20"/>
        <v>104410977.06530349</v>
      </c>
      <c r="D235" s="1">
        <f t="shared" si="21"/>
        <v>-72951304.084802091</v>
      </c>
      <c r="E235" s="1">
        <f t="shared" si="22"/>
        <v>187342331.42420745</v>
      </c>
      <c r="F235" s="1">
        <f t="shared" si="24"/>
        <v>1606171898.2586393</v>
      </c>
    </row>
    <row r="236" spans="1:6" x14ac:dyDescent="0.35">
      <c r="A236" s="1">
        <f t="shared" si="23"/>
        <v>234000000</v>
      </c>
      <c r="B236">
        <f t="shared" si="19"/>
        <v>620176.90767368418</v>
      </c>
      <c r="C236" s="1">
        <f t="shared" si="20"/>
        <v>105051824.93134432</v>
      </c>
      <c r="D236" s="1">
        <f t="shared" si="21"/>
        <v>-73707883.427166045</v>
      </c>
      <c r="E236" s="1">
        <f t="shared" si="22"/>
        <v>188752860.44055599</v>
      </c>
      <c r="F236" s="1">
        <f t="shared" si="24"/>
        <v>1608296900.5676551</v>
      </c>
    </row>
    <row r="237" spans="1:6" x14ac:dyDescent="0.35">
      <c r="A237" s="1">
        <f t="shared" si="23"/>
        <v>235000000</v>
      </c>
      <c r="B237">
        <f t="shared" si="19"/>
        <v>622264.95295431151</v>
      </c>
      <c r="C237" s="1">
        <f t="shared" si="20"/>
        <v>105693848.16417462</v>
      </c>
      <c r="D237" s="1">
        <f t="shared" si="21"/>
        <v>-74467781.311806932</v>
      </c>
      <c r="E237" s="1">
        <f t="shared" si="22"/>
        <v>190166852.24126184</v>
      </c>
      <c r="F237" s="1">
        <f t="shared" si="24"/>
        <v>1610418635.7858474</v>
      </c>
    </row>
    <row r="238" spans="1:6" x14ac:dyDescent="0.35">
      <c r="A238" s="1">
        <f t="shared" si="23"/>
        <v>236000000</v>
      </c>
      <c r="B238">
        <f t="shared" si="19"/>
        <v>624351.11717012501</v>
      </c>
      <c r="C238" s="1">
        <f t="shared" si="20"/>
        <v>106337043.90418158</v>
      </c>
      <c r="D238" s="1">
        <f t="shared" si="21"/>
        <v>-75230994.879111946</v>
      </c>
      <c r="E238" s="1">
        <f t="shared" si="22"/>
        <v>191584297.61426115</v>
      </c>
      <c r="F238" s="1">
        <f t="shared" si="24"/>
        <v>1612537123.3208673</v>
      </c>
    </row>
    <row r="239" spans="1:6" x14ac:dyDescent="0.35">
      <c r="A239" s="1">
        <f t="shared" si="23"/>
        <v>237000000</v>
      </c>
      <c r="B239">
        <f t="shared" si="19"/>
        <v>626435.40997564152</v>
      </c>
      <c r="C239" s="1">
        <f t="shared" si="20"/>
        <v>106981409.31080851</v>
      </c>
      <c r="D239" s="1">
        <f t="shared" si="21"/>
        <v>-75997521.288524389</v>
      </c>
      <c r="E239" s="1">
        <f t="shared" si="22"/>
        <v>193005187.41290984</v>
      </c>
      <c r="F239" s="1">
        <f t="shared" si="24"/>
        <v>1614652382.3743329</v>
      </c>
    </row>
    <row r="240" spans="1:6" x14ac:dyDescent="0.35">
      <c r="A240" s="1">
        <f t="shared" si="23"/>
        <v>238000000</v>
      </c>
      <c r="B240">
        <f t="shared" si="19"/>
        <v>628517.84093531023</v>
      </c>
      <c r="C240" s="1">
        <f t="shared" si="20"/>
        <v>107626941.56234697</v>
      </c>
      <c r="D240" s="1">
        <f t="shared" si="21"/>
        <v>-76767357.718335822</v>
      </c>
      <c r="E240" s="1">
        <f t="shared" si="22"/>
        <v>194429512.55523437</v>
      </c>
      <c r="F240" s="1">
        <f t="shared" si="24"/>
        <v>1616764431.9449673</v>
      </c>
    </row>
    <row r="241" spans="1:6" x14ac:dyDescent="0.35">
      <c r="A241" s="1">
        <f t="shared" si="23"/>
        <v>239000000</v>
      </c>
      <c r="B241">
        <f t="shared" si="19"/>
        <v>630598.41952474345</v>
      </c>
      <c r="C241" s="1">
        <f t="shared" si="20"/>
        <v>108273637.85573491</v>
      </c>
      <c r="D241" s="1">
        <f t="shared" si="21"/>
        <v>-77540501.365484223</v>
      </c>
      <c r="E241" s="1">
        <f t="shared" si="22"/>
        <v>195857264.02319852</v>
      </c>
      <c r="F241" s="1">
        <f t="shared" si="24"/>
        <v>1618873290.8316741</v>
      </c>
    </row>
    <row r="242" spans="1:6" x14ac:dyDescent="0.35">
      <c r="A242" s="1">
        <f t="shared" si="23"/>
        <v>240000000</v>
      </c>
      <c r="B242">
        <f t="shared" si="19"/>
        <v>632677.15513189102</v>
      </c>
      <c r="C242" s="1">
        <f t="shared" si="20"/>
        <v>108921495.40635359</v>
      </c>
      <c r="D242" s="1">
        <f t="shared" si="21"/>
        <v>-78316949.445350811</v>
      </c>
      <c r="E242" s="1">
        <f t="shared" si="22"/>
        <v>197288432.86197543</v>
      </c>
      <c r="F242" s="1">
        <f t="shared" si="24"/>
        <v>1620978977.6365516</v>
      </c>
    </row>
    <row r="243" spans="1:6" x14ac:dyDescent="0.35">
      <c r="A243" s="1">
        <f t="shared" si="23"/>
        <v>241000000</v>
      </c>
      <c r="B243">
        <f t="shared" si="19"/>
        <v>634754.05705822818</v>
      </c>
      <c r="C243" s="1">
        <f t="shared" si="20"/>
        <v>109570511.44783166</v>
      </c>
      <c r="D243" s="1">
        <f t="shared" si="21"/>
        <v>-79096699.191564247</v>
      </c>
      <c r="E243" s="1">
        <f t="shared" si="22"/>
        <v>198723010.17923656</v>
      </c>
      <c r="F243" s="1">
        <f t="shared" si="24"/>
        <v>1623081510.7678487</v>
      </c>
    </row>
    <row r="244" spans="1:6" x14ac:dyDescent="0.35">
      <c r="A244" s="1">
        <f t="shared" si="23"/>
        <v>242000000</v>
      </c>
      <c r="B244">
        <f t="shared" si="19"/>
        <v>636829.13451990078</v>
      </c>
      <c r="C244" s="1">
        <f t="shared" si="20"/>
        <v>110220683.23184915</v>
      </c>
      <c r="D244" s="1">
        <f t="shared" si="21"/>
        <v>-79879747.855804592</v>
      </c>
      <c r="E244" s="1">
        <f t="shared" si="22"/>
        <v>200160987.14444792</v>
      </c>
      <c r="F244" s="1">
        <f t="shared" si="24"/>
        <v>1625180908.4428616</v>
      </c>
    </row>
    <row r="245" spans="1:6" x14ac:dyDescent="0.35">
      <c r="A245" s="1">
        <f t="shared" si="23"/>
        <v>243000000</v>
      </c>
      <c r="B245">
        <f t="shared" si="19"/>
        <v>638902.39664885669</v>
      </c>
      <c r="C245" s="1">
        <f t="shared" si="20"/>
        <v>110872008.02794619</v>
      </c>
      <c r="D245" s="1">
        <f t="shared" si="21"/>
        <v>-80666092.707611918</v>
      </c>
      <c r="E245" s="1">
        <f t="shared" si="22"/>
        <v>201602354.98817968</v>
      </c>
      <c r="F245" s="1">
        <f t="shared" si="24"/>
        <v>1627277188.6907749</v>
      </c>
    </row>
    <row r="246" spans="1:6" x14ac:dyDescent="0.35">
      <c r="A246" s="1">
        <f t="shared" si="23"/>
        <v>244000000</v>
      </c>
      <c r="B246">
        <f t="shared" si="19"/>
        <v>640973.85249396192</v>
      </c>
      <c r="C246" s="1">
        <f t="shared" si="20"/>
        <v>111524483.12333357</v>
      </c>
      <c r="D246" s="1">
        <f t="shared" si="21"/>
        <v>-81455731.034197077</v>
      </c>
      <c r="E246" s="1">
        <f t="shared" si="22"/>
        <v>203047105.00142449</v>
      </c>
      <c r="F246" s="1">
        <f t="shared" si="24"/>
        <v>1629370369.3554482</v>
      </c>
    </row>
    <row r="247" spans="1:6" x14ac:dyDescent="0.35">
      <c r="A247" s="1">
        <f t="shared" si="23"/>
        <v>245000000</v>
      </c>
      <c r="B247">
        <f t="shared" si="19"/>
        <v>643043.51102209196</v>
      </c>
      <c r="C247" s="1">
        <f t="shared" si="20"/>
        <v>112178105.82270633</v>
      </c>
      <c r="D247" s="1">
        <f t="shared" si="21"/>
        <v>-82248660.140255079</v>
      </c>
      <c r="E247" s="1">
        <f t="shared" si="22"/>
        <v>204495228.53492701</v>
      </c>
      <c r="F247" s="1">
        <f t="shared" si="24"/>
        <v>1631460468.0981472</v>
      </c>
    </row>
    <row r="248" spans="1:6" x14ac:dyDescent="0.35">
      <c r="A248" s="1">
        <f t="shared" si="23"/>
        <v>246000000</v>
      </c>
      <c r="B248">
        <f t="shared" si="19"/>
        <v>645111.38111920224</v>
      </c>
      <c r="C248" s="1">
        <f t="shared" si="20"/>
        <v>112832873.4480602</v>
      </c>
      <c r="D248" s="1">
        <f t="shared" si="21"/>
        <v>-83044877.347781643</v>
      </c>
      <c r="E248" s="1">
        <f t="shared" si="22"/>
        <v>205946716.99852461</v>
      </c>
      <c r="F248" s="1">
        <f t="shared" si="24"/>
        <v>1633547502.4002237</v>
      </c>
    </row>
    <row r="249" spans="1:6" x14ac:dyDescent="0.35">
      <c r="A249" s="1">
        <f t="shared" si="23"/>
        <v>247000000</v>
      </c>
      <c r="B249">
        <f t="shared" si="19"/>
        <v>647177.47159139207</v>
      </c>
      <c r="C249" s="1">
        <f t="shared" si="20"/>
        <v>113488783.33851044</v>
      </c>
      <c r="D249" s="1">
        <f t="shared" si="21"/>
        <v>-83844379.995892063</v>
      </c>
      <c r="E249" s="1">
        <f t="shared" si="22"/>
        <v>207401561.86049521</v>
      </c>
      <c r="F249" s="1">
        <f t="shared" si="24"/>
        <v>1635631489.5657446</v>
      </c>
    </row>
    <row r="250" spans="1:6" x14ac:dyDescent="0.35">
      <c r="A250" s="1">
        <f t="shared" si="23"/>
        <v>248000000</v>
      </c>
      <c r="B250">
        <f t="shared" si="19"/>
        <v>649241.79116593476</v>
      </c>
      <c r="C250" s="1">
        <f t="shared" si="20"/>
        <v>114145832.85011378</v>
      </c>
      <c r="D250" s="1">
        <f t="shared" si="21"/>
        <v>-84647165.440643027</v>
      </c>
      <c r="E250" s="1">
        <f t="shared" si="22"/>
        <v>208859754.64691919</v>
      </c>
      <c r="F250" s="1">
        <f t="shared" si="24"/>
        <v>1637712446.7240694</v>
      </c>
    </row>
    <row r="251" spans="1:6" x14ac:dyDescent="0.35">
      <c r="A251" s="1">
        <f t="shared" si="23"/>
        <v>249000000</v>
      </c>
      <c r="B251">
        <f t="shared" si="19"/>
        <v>651304.34849230328</v>
      </c>
      <c r="C251" s="1">
        <f t="shared" si="20"/>
        <v>114804019.35569225</v>
      </c>
      <c r="D251" s="1">
        <f t="shared" si="21"/>
        <v>-85453231.054856598</v>
      </c>
      <c r="E251" s="1">
        <f t="shared" si="22"/>
        <v>210321286.94104671</v>
      </c>
      <c r="F251" s="1">
        <f t="shared" si="24"/>
        <v>1639790390.8323803</v>
      </c>
    </row>
    <row r="252" spans="1:6" x14ac:dyDescent="0.35">
      <c r="A252" s="1">
        <f t="shared" si="23"/>
        <v>250000000</v>
      </c>
      <c r="B252">
        <f t="shared" si="19"/>
        <v>653365.15214317362</v>
      </c>
      <c r="C252" s="1">
        <f t="shared" si="20"/>
        <v>115463340.24466056</v>
      </c>
      <c r="D252" s="1">
        <f t="shared" si="21"/>
        <v>-86262574.227947474</v>
      </c>
      <c r="E252" s="1">
        <f t="shared" si="22"/>
        <v>211786150.38267791</v>
      </c>
      <c r="F252" s="1">
        <f t="shared" si="24"/>
        <v>1641865338.678164</v>
      </c>
    </row>
    <row r="253" spans="1:6" x14ac:dyDescent="0.35">
      <c r="A253" s="1">
        <f t="shared" si="23"/>
        <v>251000000</v>
      </c>
      <c r="B253">
        <f t="shared" si="19"/>
        <v>655424.21061540756</v>
      </c>
      <c r="C253" s="1">
        <f t="shared" si="20"/>
        <v>116123792.92285448</v>
      </c>
      <c r="D253" s="1">
        <f t="shared" si="21"/>
        <v>-87075192.365751415</v>
      </c>
      <c r="E253" s="1">
        <f t="shared" si="22"/>
        <v>213254336.66754976</v>
      </c>
      <c r="F253" s="1">
        <f t="shared" si="24"/>
        <v>1643937306.8816469</v>
      </c>
    </row>
    <row r="254" spans="1:6" x14ac:dyDescent="0.35">
      <c r="A254" s="1">
        <f t="shared" si="23"/>
        <v>252000000</v>
      </c>
      <c r="B254">
        <f t="shared" si="19"/>
        <v>657481.53233102127</v>
      </c>
      <c r="C254" s="1">
        <f t="shared" si="20"/>
        <v>116785374.81236276</v>
      </c>
      <c r="D254" s="1">
        <f t="shared" si="21"/>
        <v>-87891082.890357181</v>
      </c>
      <c r="E254" s="1">
        <f t="shared" si="22"/>
        <v>214725837.5467332</v>
      </c>
      <c r="F254" s="1">
        <f t="shared" si="24"/>
        <v>1646006311.8981848</v>
      </c>
    </row>
    <row r="255" spans="1:6" x14ac:dyDescent="0.35">
      <c r="A255" s="1">
        <f t="shared" si="23"/>
        <v>253000000</v>
      </c>
      <c r="B255">
        <f t="shared" si="19"/>
        <v>659537.1256381456</v>
      </c>
      <c r="C255" s="1">
        <f t="shared" si="20"/>
        <v>117448083.35136138</v>
      </c>
      <c r="D255" s="1">
        <f t="shared" si="21"/>
        <v>-88710243.239940763</v>
      </c>
      <c r="E255" s="1">
        <f t="shared" si="22"/>
        <v>216200644.82603943</v>
      </c>
      <c r="F255" s="1">
        <f t="shared" si="24"/>
        <v>1648072370.0206087</v>
      </c>
    </row>
    <row r="256" spans="1:6" x14ac:dyDescent="0.35">
      <c r="A256" s="1">
        <f t="shared" si="23"/>
        <v>254000000</v>
      </c>
      <c r="B256">
        <f t="shared" si="19"/>
        <v>661590.9988119558</v>
      </c>
      <c r="C256" s="1">
        <f t="shared" si="20"/>
        <v>118111915.99394968</v>
      </c>
      <c r="D256" s="1">
        <f t="shared" si="21"/>
        <v>-89532670.868601486</v>
      </c>
      <c r="E256" s="1">
        <f t="shared" si="22"/>
        <v>217678750.36543489</v>
      </c>
      <c r="F256" s="1">
        <f t="shared" si="24"/>
        <v>1650135497.381526</v>
      </c>
    </row>
    <row r="257" spans="1:6" x14ac:dyDescent="0.35">
      <c r="A257" s="1">
        <f t="shared" si="23"/>
        <v>255000000</v>
      </c>
      <c r="B257">
        <f t="shared" si="19"/>
        <v>663643.16005560174</v>
      </c>
      <c r="C257" s="1">
        <f t="shared" si="20"/>
        <v>118776870.2099894</v>
      </c>
      <c r="D257" s="1">
        <f t="shared" si="21"/>
        <v>-90358363.246201098</v>
      </c>
      <c r="E257" s="1">
        <f t="shared" si="22"/>
        <v>219160146.07846436</v>
      </c>
      <c r="F257" s="1">
        <f t="shared" si="24"/>
        <v>1652195709.9555807</v>
      </c>
    </row>
    <row r="258" spans="1:6" x14ac:dyDescent="0.35">
      <c r="A258" s="1">
        <f t="shared" si="23"/>
        <v>256000000</v>
      </c>
      <c r="B258">
        <f t="shared" ref="B258:B321" si="25">$M$3*A258^$M$4</f>
        <v>665693.61750110891</v>
      </c>
      <c r="C258" s="1">
        <f t="shared" ref="C258:C321" si="26">$M$7*A258*B258^$M$8</f>
        <v>119442943.48494521</v>
      </c>
      <c r="D258" s="1">
        <f t="shared" ref="D258:D321" si="27">$M$1*A258*(1-A258/$M$2)-C258</f>
        <v>-91187317.85820426</v>
      </c>
      <c r="E258" s="1">
        <f t="shared" ref="E258:E321" si="28">$M$5*C258-$M$6*B258</f>
        <v>220644823.93168241</v>
      </c>
      <c r="F258" s="1">
        <f t="shared" si="24"/>
        <v>1654253023.561671</v>
      </c>
    </row>
    <row r="259" spans="1:6" x14ac:dyDescent="0.35">
      <c r="A259" s="1">
        <f t="shared" si="23"/>
        <v>257000000</v>
      </c>
      <c r="B259">
        <f t="shared" si="25"/>
        <v>667742.3792102678</v>
      </c>
      <c r="C259" s="1">
        <f t="shared" si="26"/>
        <v>120110133.31972761</v>
      </c>
      <c r="D259" s="1">
        <f t="shared" si="27"/>
        <v>-92019532.205521479</v>
      </c>
      <c r="E259" s="1">
        <f t="shared" si="28"/>
        <v>222132775.94409361</v>
      </c>
      <c r="F259" s="1">
        <f t="shared" si="24"/>
        <v>1656307453.8651268</v>
      </c>
    </row>
    <row r="260" spans="1:6" x14ac:dyDescent="0.35">
      <c r="A260" s="1">
        <f t="shared" ref="A260:A323" si="29">A259+1000000</f>
        <v>258000000</v>
      </c>
      <c r="B260">
        <f t="shared" si="25"/>
        <v>669789.45317552215</v>
      </c>
      <c r="C260" s="1">
        <f t="shared" si="26"/>
        <v>120778437.23053931</v>
      </c>
      <c r="D260" s="1">
        <f t="shared" si="27"/>
        <v>-92855003.804355472</v>
      </c>
      <c r="E260" s="1">
        <f t="shared" si="28"/>
        <v>223623994.18660128</v>
      </c>
      <c r="F260" s="1">
        <f t="shared" si="24"/>
        <v>1658359016.379848</v>
      </c>
    </row>
    <row r="261" spans="1:6" x14ac:dyDescent="0.35">
      <c r="A261" s="1">
        <f t="shared" si="29"/>
        <v>259000000</v>
      </c>
      <c r="B261">
        <f t="shared" si="25"/>
        <v>671834.84732082102</v>
      </c>
      <c r="C261" s="1">
        <f t="shared" si="26"/>
        <v>121447852.74872161</v>
      </c>
      <c r="D261" s="1">
        <f t="shared" si="27"/>
        <v>-93693730.186047524</v>
      </c>
      <c r="E261" s="1">
        <f t="shared" si="28"/>
        <v>225118470.78146273</v>
      </c>
      <c r="F261" s="1">
        <f t="shared" si="24"/>
        <v>1660407726.4704027</v>
      </c>
    </row>
    <row r="262" spans="1:6" x14ac:dyDescent="0.35">
      <c r="A262" s="1">
        <f t="shared" si="29"/>
        <v>260000000</v>
      </c>
      <c r="B262">
        <f t="shared" si="25"/>
        <v>673878.56950247032</v>
      </c>
      <c r="C262" s="1">
        <f t="shared" si="26"/>
        <v>122118377.4206043</v>
      </c>
      <c r="D262" s="1">
        <f t="shared" si="27"/>
        <v>-94535708.896927416</v>
      </c>
      <c r="E262" s="1">
        <f t="shared" si="28"/>
        <v>226616197.90175369</v>
      </c>
      <c r="F262" s="1">
        <f t="shared" si="24"/>
        <v>1662453599.3540897</v>
      </c>
    </row>
    <row r="263" spans="1:6" x14ac:dyDescent="0.35">
      <c r="A263" s="1">
        <f t="shared" si="29"/>
        <v>261000000</v>
      </c>
      <c r="B263">
        <f t="shared" si="25"/>
        <v>675920.62750997674</v>
      </c>
      <c r="C263" s="1">
        <f t="shared" si="26"/>
        <v>122790008.807358</v>
      </c>
      <c r="D263" s="1">
        <f t="shared" si="27"/>
        <v>-95380937.498165801</v>
      </c>
      <c r="E263" s="1">
        <f t="shared" si="28"/>
        <v>228117167.7708402</v>
      </c>
      <c r="F263" s="1">
        <f t="shared" si="24"/>
        <v>1664496650.102962</v>
      </c>
    </row>
    <row r="264" spans="1:6" x14ac:dyDescent="0.35">
      <c r="A264" s="1">
        <f t="shared" si="29"/>
        <v>262000000</v>
      </c>
      <c r="B264">
        <f t="shared" si="25"/>
        <v>677961.02906685334</v>
      </c>
      <c r="C264" s="1">
        <f t="shared" si="26"/>
        <v>123462744.48484634</v>
      </c>
      <c r="D264" s="1">
        <f t="shared" si="27"/>
        <v>-96229413.565626279</v>
      </c>
      <c r="E264" s="1">
        <f t="shared" si="28"/>
        <v>229621372.66185659</v>
      </c>
      <c r="F264" s="1">
        <f t="shared" si="24"/>
        <v>1666536893.6458149</v>
      </c>
    </row>
    <row r="265" spans="1:6" x14ac:dyDescent="0.35">
      <c r="A265" s="1">
        <f t="shared" si="29"/>
        <v>263000000</v>
      </c>
      <c r="B265">
        <f t="shared" si="25"/>
        <v>679999.78183144319</v>
      </c>
      <c r="C265" s="1">
        <f t="shared" si="26"/>
        <v>124136582.04348341</v>
      </c>
      <c r="D265" s="1">
        <f t="shared" si="27"/>
        <v>-97081134.68972297</v>
      </c>
      <c r="E265" s="1">
        <f t="shared" si="28"/>
        <v>231128804.89719439</v>
      </c>
      <c r="F265" s="1">
        <f t="shared" si="24"/>
        <v>1668574344.7701395</v>
      </c>
    </row>
    <row r="266" spans="1:6" x14ac:dyDescent="0.35">
      <c r="A266" s="1">
        <f t="shared" si="29"/>
        <v>264000000</v>
      </c>
      <c r="B266">
        <f t="shared" si="25"/>
        <v>682036.89339771017</v>
      </c>
      <c r="C266" s="1">
        <f t="shared" si="26"/>
        <v>124811519.08809045</v>
      </c>
      <c r="D266" s="1">
        <f t="shared" si="27"/>
        <v>-97936098.475277081</v>
      </c>
      <c r="E266" s="1">
        <f t="shared" si="28"/>
        <v>232639456.84799457</v>
      </c>
      <c r="F266" s="1">
        <f t="shared" si="24"/>
        <v>1670609018.1240396</v>
      </c>
    </row>
    <row r="267" spans="1:6" x14ac:dyDescent="0.35">
      <c r="A267" s="1">
        <f t="shared" si="29"/>
        <v>265000000</v>
      </c>
      <c r="B267">
        <f t="shared" si="25"/>
        <v>684072.3712960144</v>
      </c>
      <c r="C267" s="1">
        <f t="shared" si="26"/>
        <v>125487553.23775478</v>
      </c>
      <c r="D267" s="1">
        <f t="shared" si="27"/>
        <v>-98794302.541375935</v>
      </c>
      <c r="E267" s="1">
        <f t="shared" si="28"/>
        <v>234153320.93364775</v>
      </c>
      <c r="F267" s="1">
        <f t="shared" si="24"/>
        <v>1672640928.2181172</v>
      </c>
    </row>
    <row r="268" spans="1:6" x14ac:dyDescent="0.35">
      <c r="A268" s="1">
        <f t="shared" si="29"/>
        <v>266000000</v>
      </c>
      <c r="B268">
        <f t="shared" si="25"/>
        <v>686106.22299389413</v>
      </c>
      <c r="C268" s="1">
        <f t="shared" si="26"/>
        <v>126164682.12569267</v>
      </c>
      <c r="D268" s="1">
        <f t="shared" si="27"/>
        <v>-99655744.521235839</v>
      </c>
      <c r="E268" s="1">
        <f t="shared" si="28"/>
        <v>235670389.62130442</v>
      </c>
      <c r="F268" s="1">
        <f t="shared" si="24"/>
        <v>1674670089.4273224</v>
      </c>
    </row>
    <row r="269" spans="1:6" x14ac:dyDescent="0.35">
      <c r="A269" s="1">
        <f t="shared" si="29"/>
        <v>267000000</v>
      </c>
      <c r="B269">
        <f t="shared" si="25"/>
        <v>688138.45589681796</v>
      </c>
      <c r="C269" s="1">
        <f t="shared" si="26"/>
        <v>126842903.39911196</v>
      </c>
      <c r="D269" s="1">
        <f t="shared" si="27"/>
        <v>-100520422.0620646</v>
      </c>
      <c r="E269" s="1">
        <f t="shared" si="28"/>
        <v>237190655.42538914</v>
      </c>
      <c r="F269" s="1">
        <f t="shared" si="24"/>
        <v>1676696515.9927726</v>
      </c>
    </row>
    <row r="270" spans="1:6" x14ac:dyDescent="0.35">
      <c r="A270" s="1">
        <f t="shared" si="29"/>
        <v>268000000</v>
      </c>
      <c r="B270">
        <f t="shared" si="25"/>
        <v>690169.07734893297</v>
      </c>
      <c r="C270" s="1">
        <f t="shared" si="26"/>
        <v>127522214.71907693</v>
      </c>
      <c r="D270" s="1">
        <f t="shared" si="27"/>
        <v>-101388332.82492653</v>
      </c>
      <c r="E270" s="1">
        <f t="shared" si="28"/>
        <v>238714110.90712094</v>
      </c>
      <c r="F270" s="1">
        <f t="shared" si="24"/>
        <v>1678720222.02354</v>
      </c>
    </row>
    <row r="271" spans="1:6" x14ac:dyDescent="0.35">
      <c r="A271" s="1">
        <f t="shared" si="29"/>
        <v>269000000</v>
      </c>
      <c r="B271">
        <f t="shared" si="25"/>
        <v>692198.09463379881</v>
      </c>
      <c r="C271" s="1">
        <f t="shared" si="26"/>
        <v>128202613.76037589</v>
      </c>
      <c r="D271" s="1">
        <f t="shared" si="27"/>
        <v>-102259474.48460987</v>
      </c>
      <c r="E271" s="1">
        <f t="shared" si="28"/>
        <v>240240748.67404369</v>
      </c>
      <c r="F271" s="1">
        <f t="shared" si="24"/>
        <v>1680741221.4984071</v>
      </c>
    </row>
    <row r="272" spans="1:6" x14ac:dyDescent="0.35">
      <c r="A272" s="1">
        <f t="shared" si="29"/>
        <v>270000000</v>
      </c>
      <c r="B272">
        <f t="shared" si="25"/>
        <v>694225.51497510739</v>
      </c>
      <c r="C272" s="1">
        <f t="shared" si="26"/>
        <v>128884098.21138914</v>
      </c>
      <c r="D272" s="1">
        <f t="shared" si="27"/>
        <v>-103133844.72949499</v>
      </c>
      <c r="E272" s="1">
        <f t="shared" si="28"/>
        <v>241770561.37955925</v>
      </c>
      <c r="F272" s="1">
        <f t="shared" si="24"/>
        <v>1682759528.267592</v>
      </c>
    </row>
    <row r="273" spans="1:6" x14ac:dyDescent="0.35">
      <c r="A273" s="1">
        <f t="shared" si="29"/>
        <v>271000000</v>
      </c>
      <c r="B273">
        <f t="shared" si="25"/>
        <v>696251.34553740104</v>
      </c>
      <c r="C273" s="1">
        <f t="shared" si="26"/>
        <v>129566665.7739601</v>
      </c>
      <c r="D273" s="1">
        <f t="shared" si="27"/>
        <v>-104011441.26142529</v>
      </c>
      <c r="E273" s="1">
        <f t="shared" si="28"/>
        <v>243303541.72246993</v>
      </c>
      <c r="F273" s="1">
        <f t="shared" si="24"/>
        <v>1684775156.0544446</v>
      </c>
    </row>
    <row r="274" spans="1:6" x14ac:dyDescent="0.35">
      <c r="A274" s="1">
        <f t="shared" si="29"/>
        <v>272000000</v>
      </c>
      <c r="B274">
        <f t="shared" si="25"/>
        <v>698275.59342676867</v>
      </c>
      <c r="C274" s="1">
        <f t="shared" si="26"/>
        <v>130250314.16326721</v>
      </c>
      <c r="D274" s="1">
        <f t="shared" si="27"/>
        <v>-104892261.7955792</v>
      </c>
      <c r="E274" s="1">
        <f t="shared" si="28"/>
        <v>244839682.44652587</v>
      </c>
      <c r="F274" s="1">
        <f t="shared" si="24"/>
        <v>1686788118.4571137</v>
      </c>
    </row>
    <row r="275" spans="1:6" x14ac:dyDescent="0.35">
      <c r="A275" s="1">
        <f t="shared" si="29"/>
        <v>273000000</v>
      </c>
      <c r="B275">
        <f t="shared" si="25"/>
        <v>700298.2656915416</v>
      </c>
      <c r="C275" s="1">
        <f t="shared" si="26"/>
        <v>130935041.10769804</v>
      </c>
      <c r="D275" s="1">
        <f t="shared" si="27"/>
        <v>-105776304.06034428</v>
      </c>
      <c r="E275" s="1">
        <f t="shared" si="28"/>
        <v>246378976.33997884</v>
      </c>
      <c r="F275" s="1">
        <f t="shared" si="24"/>
        <v>1688798428.9501853</v>
      </c>
    </row>
    <row r="276" spans="1:6" x14ac:dyDescent="0.35">
      <c r="A276" s="1">
        <f t="shared" si="29"/>
        <v>274000000</v>
      </c>
      <c r="B276">
        <f t="shared" si="25"/>
        <v>702319.36932296283</v>
      </c>
      <c r="C276" s="1">
        <f t="shared" si="26"/>
        <v>131620844.34872408</v>
      </c>
      <c r="D276" s="1">
        <f t="shared" si="27"/>
        <v>-106663565.79719205</v>
      </c>
      <c r="E276" s="1">
        <f t="shared" si="28"/>
        <v>247921416.23514172</v>
      </c>
      <c r="F276" s="1">
        <f t="shared" si="24"/>
        <v>1690806100.8862925</v>
      </c>
    </row>
    <row r="277" spans="1:6" x14ac:dyDescent="0.35">
      <c r="A277" s="1">
        <f t="shared" si="29"/>
        <v>275000000</v>
      </c>
      <c r="B277">
        <f t="shared" si="25"/>
        <v>704338.91125586245</v>
      </c>
      <c r="C277" s="1">
        <f t="shared" si="26"/>
        <v>132307721.64077821</v>
      </c>
      <c r="D277" s="1">
        <f t="shared" si="27"/>
        <v>-107554044.76055537</v>
      </c>
      <c r="E277" s="1">
        <f t="shared" si="28"/>
        <v>249466995.00795424</v>
      </c>
      <c r="F277" s="1">
        <f t="shared" si="24"/>
        <v>1692811147.497699</v>
      </c>
    </row>
    <row r="278" spans="1:6" x14ac:dyDescent="0.35">
      <c r="A278" s="1">
        <f t="shared" si="29"/>
        <v>276000000</v>
      </c>
      <c r="B278">
        <f t="shared" si="25"/>
        <v>706356.8983693195</v>
      </c>
      <c r="C278" s="1">
        <f t="shared" si="26"/>
        <v>132995670.75113407</v>
      </c>
      <c r="D278" s="1">
        <f t="shared" si="27"/>
        <v>-108447738.71770789</v>
      </c>
      <c r="E278" s="1">
        <f t="shared" si="28"/>
        <v>251015705.5775561</v>
      </c>
      <c r="F278" s="1">
        <f t="shared" si="24"/>
        <v>1694813581.8978562</v>
      </c>
    </row>
    <row r="279" spans="1:6" x14ac:dyDescent="0.35">
      <c r="A279" s="1">
        <f t="shared" si="29"/>
        <v>277000000</v>
      </c>
      <c r="B279">
        <f t="shared" si="25"/>
        <v>708373.33748730342</v>
      </c>
      <c r="C279" s="1">
        <f t="shared" si="26"/>
        <v>133684689.45978551</v>
      </c>
      <c r="D279" s="1">
        <f t="shared" si="27"/>
        <v>-109344645.44864345</v>
      </c>
      <c r="E279" s="1">
        <f t="shared" si="28"/>
        <v>252567540.90586346</v>
      </c>
      <c r="F279" s="1">
        <f t="shared" si="24"/>
        <v>1696813417.0829327</v>
      </c>
    </row>
    <row r="280" spans="1:6" x14ac:dyDescent="0.35">
      <c r="A280" s="1">
        <f t="shared" si="29"/>
        <v>278000000</v>
      </c>
      <c r="B280">
        <f t="shared" si="25"/>
        <v>710388.2353793137</v>
      </c>
      <c r="C280" s="1">
        <f t="shared" si="26"/>
        <v>134374775.55932826</v>
      </c>
      <c r="D280" s="1">
        <f t="shared" si="27"/>
        <v>-110244762.74595778</v>
      </c>
      <c r="E280" s="1">
        <f t="shared" si="28"/>
        <v>254122493.99715132</v>
      </c>
      <c r="F280" s="1">
        <f t="shared" si="24"/>
        <v>1698810665.9333191</v>
      </c>
    </row>
    <row r="281" spans="1:6" x14ac:dyDescent="0.35">
      <c r="A281" s="1">
        <f t="shared" si="29"/>
        <v>279000000</v>
      </c>
      <c r="B281">
        <f t="shared" si="25"/>
        <v>712401.59876101848</v>
      </c>
      <c r="C281" s="1">
        <f t="shared" si="26"/>
        <v>135065926.85484475</v>
      </c>
      <c r="D281" s="1">
        <f t="shared" si="27"/>
        <v>-111148088.41473334</v>
      </c>
      <c r="E281" s="1">
        <f t="shared" si="28"/>
        <v>255680557.897645</v>
      </c>
      <c r="F281" s="1">
        <f t="shared" si="24"/>
        <v>1700805341.2151082</v>
      </c>
    </row>
    <row r="282" spans="1:6" x14ac:dyDescent="0.35">
      <c r="A282" s="1">
        <f t="shared" si="29"/>
        <v>280000000</v>
      </c>
      <c r="B282">
        <f t="shared" si="25"/>
        <v>714413.43429485778</v>
      </c>
      <c r="C282" s="1">
        <f t="shared" si="26"/>
        <v>135758141.16378683</v>
      </c>
      <c r="D282" s="1">
        <f t="shared" si="27"/>
        <v>-112054620.27242193</v>
      </c>
      <c r="E282" s="1">
        <f t="shared" si="28"/>
        <v>257241725.69511124</v>
      </c>
      <c r="F282" s="1">
        <f t="shared" ref="F282:F345" si="30">F281+($M$9*F281-E282)/D282*(A282-A281)</f>
        <v>1702797455.5815494</v>
      </c>
    </row>
    <row r="283" spans="1:6" x14ac:dyDescent="0.35">
      <c r="A283" s="1">
        <f t="shared" si="29"/>
        <v>281000000</v>
      </c>
      <c r="B283">
        <f t="shared" si="25"/>
        <v>716423.7485906689</v>
      </c>
      <c r="C283" s="1">
        <f t="shared" si="26"/>
        <v>136451416.31586397</v>
      </c>
      <c r="D283" s="1">
        <f t="shared" si="27"/>
        <v>-112964356.14873305</v>
      </c>
      <c r="E283" s="1">
        <f t="shared" si="28"/>
        <v>258805990.51846039</v>
      </c>
      <c r="F283" s="1">
        <f t="shared" si="30"/>
        <v>1704787021.5744801</v>
      </c>
    </row>
    <row r="284" spans="1:6" x14ac:dyDescent="0.35">
      <c r="A284" s="1">
        <f t="shared" si="29"/>
        <v>282000000</v>
      </c>
      <c r="B284">
        <f t="shared" si="25"/>
        <v>718432.54820627824</v>
      </c>
      <c r="C284" s="1">
        <f t="shared" si="26"/>
        <v>137145750.15292957</v>
      </c>
      <c r="D284" s="1">
        <f t="shared" si="27"/>
        <v>-113877293.8855201</v>
      </c>
      <c r="E284" s="1">
        <f t="shared" si="28"/>
        <v>260373345.53734928</v>
      </c>
      <c r="F284" s="1">
        <f t="shared" si="30"/>
        <v>1706774051.6257327</v>
      </c>
    </row>
    <row r="285" spans="1:6" x14ac:dyDescent="0.35">
      <c r="A285" s="1">
        <f t="shared" si="29"/>
        <v>283000000</v>
      </c>
      <c r="B285">
        <f t="shared" si="25"/>
        <v>720439.83964809822</v>
      </c>
      <c r="C285" s="1">
        <f t="shared" si="26"/>
        <v>137841140.52887145</v>
      </c>
      <c r="D285" s="1">
        <f t="shared" si="27"/>
        <v>-114793431.33667089</v>
      </c>
      <c r="E285" s="1">
        <f t="shared" si="28"/>
        <v>261943783.9617939</v>
      </c>
      <c r="F285" s="1">
        <f t="shared" si="30"/>
        <v>1708758558.0585194</v>
      </c>
    </row>
    <row r="286" spans="1:6" x14ac:dyDescent="0.35">
      <c r="A286" s="1">
        <f t="shared" si="29"/>
        <v>284000000</v>
      </c>
      <c r="B286">
        <f t="shared" si="25"/>
        <v>722445.62937170616</v>
      </c>
      <c r="C286" s="1">
        <f t="shared" si="26"/>
        <v>138537585.30950123</v>
      </c>
      <c r="D286" s="1">
        <f t="shared" si="27"/>
        <v>-115712766.36799705</v>
      </c>
      <c r="E286" s="1">
        <f t="shared" si="28"/>
        <v>263517299.04178232</v>
      </c>
      <c r="F286" s="1">
        <f t="shared" si="30"/>
        <v>1710740553.0887933</v>
      </c>
    </row>
    <row r="287" spans="1:6" x14ac:dyDescent="0.35">
      <c r="A287" s="1">
        <f t="shared" si="29"/>
        <v>285000000</v>
      </c>
      <c r="B287">
        <f t="shared" si="25"/>
        <v>724449.92378242733</v>
      </c>
      <c r="C287" s="1">
        <f t="shared" si="26"/>
        <v>139235082.37244746</v>
      </c>
      <c r="D287" s="1">
        <f t="shared" si="27"/>
        <v>-116635296.85712713</v>
      </c>
      <c r="E287" s="1">
        <f t="shared" si="28"/>
        <v>265093884.0668968</v>
      </c>
      <c r="F287" s="1">
        <f t="shared" si="30"/>
        <v>1712720048.8265882</v>
      </c>
    </row>
    <row r="288" spans="1:6" x14ac:dyDescent="0.35">
      <c r="A288" s="1">
        <f t="shared" si="29"/>
        <v>286000000</v>
      </c>
      <c r="B288">
        <f t="shared" si="25"/>
        <v>726452.72923588532</v>
      </c>
      <c r="C288" s="1">
        <f t="shared" si="26"/>
        <v>139933629.60704732</v>
      </c>
      <c r="D288" s="1">
        <f t="shared" si="27"/>
        <v>-117561020.6933983</v>
      </c>
      <c r="E288" s="1">
        <f t="shared" si="28"/>
        <v>266673532.36593735</v>
      </c>
      <c r="F288" s="1">
        <f t="shared" si="30"/>
        <v>1714697057.2773361</v>
      </c>
    </row>
    <row r="289" spans="1:6" x14ac:dyDescent="0.35">
      <c r="A289" s="1">
        <f t="shared" si="29"/>
        <v>287000000</v>
      </c>
      <c r="B289">
        <f t="shared" si="25"/>
        <v>728454.05203858134</v>
      </c>
      <c r="C289" s="1">
        <f t="shared" si="26"/>
        <v>140633224.91424328</v>
      </c>
      <c r="D289" s="1">
        <f t="shared" si="27"/>
        <v>-118489935.77775303</v>
      </c>
      <c r="E289" s="1">
        <f t="shared" si="28"/>
        <v>268256237.30655393</v>
      </c>
      <c r="F289" s="1">
        <f t="shared" si="30"/>
        <v>1716671590.3431642</v>
      </c>
    </row>
    <row r="290" spans="1:6" x14ac:dyDescent="0.35">
      <c r="A290" s="1">
        <f t="shared" si="29"/>
        <v>288000000</v>
      </c>
      <c r="B290">
        <f t="shared" si="25"/>
        <v>730453.89844842604</v>
      </c>
      <c r="C290" s="1">
        <f t="shared" si="26"/>
        <v>141333866.20647782</v>
      </c>
      <c r="D290" s="1">
        <f t="shared" si="27"/>
        <v>-119422040.02263381</v>
      </c>
      <c r="E290" s="1">
        <f t="shared" si="28"/>
        <v>269841992.29488099</v>
      </c>
      <c r="F290" s="1">
        <f t="shared" si="30"/>
        <v>1718643659.8241694</v>
      </c>
    </row>
    <row r="291" spans="1:6" x14ac:dyDescent="0.35">
      <c r="A291" s="1">
        <f t="shared" si="29"/>
        <v>289000000</v>
      </c>
      <c r="B291">
        <f t="shared" si="25"/>
        <v>732452.27467528684</v>
      </c>
      <c r="C291" s="1">
        <f t="shared" si="26"/>
        <v>142035551.40759048</v>
      </c>
      <c r="D291" s="1">
        <f t="shared" si="27"/>
        <v>-120357331.35188016</v>
      </c>
      <c r="E291" s="1">
        <f t="shared" si="28"/>
        <v>271430790.77517545</v>
      </c>
      <c r="F291" s="1">
        <f t="shared" si="30"/>
        <v>1720613277.4196744</v>
      </c>
    </row>
    <row r="292" spans="1:6" x14ac:dyDescent="0.35">
      <c r="A292" s="1">
        <f t="shared" si="29"/>
        <v>290000000</v>
      </c>
      <c r="B292">
        <f t="shared" si="25"/>
        <v>734449.18688152637</v>
      </c>
      <c r="C292" s="1">
        <f t="shared" si="26"/>
        <v>142738278.45271692</v>
      </c>
      <c r="D292" s="1">
        <f t="shared" si="27"/>
        <v>-121295807.70062777</v>
      </c>
      <c r="E292" s="1">
        <f t="shared" si="28"/>
        <v>273022626.22946221</v>
      </c>
      <c r="F292" s="1">
        <f t="shared" si="30"/>
        <v>1722580454.7294624</v>
      </c>
    </row>
    <row r="293" spans="1:6" x14ac:dyDescent="0.35">
      <c r="A293" s="1">
        <f t="shared" si="29"/>
        <v>291000000</v>
      </c>
      <c r="B293">
        <f t="shared" si="25"/>
        <v>736444.64118251984</v>
      </c>
      <c r="C293" s="1">
        <f t="shared" si="26"/>
        <v>143442045.2881889</v>
      </c>
      <c r="D293" s="1">
        <f t="shared" si="27"/>
        <v>-122237467.01520839</v>
      </c>
      <c r="E293" s="1">
        <f t="shared" si="28"/>
        <v>274617492.17718458</v>
      </c>
      <c r="F293" s="1">
        <f t="shared" si="30"/>
        <v>1724545203.254992</v>
      </c>
    </row>
    <row r="294" spans="1:6" x14ac:dyDescent="0.35">
      <c r="A294" s="1">
        <f t="shared" si="29"/>
        <v>292000000</v>
      </c>
      <c r="B294">
        <f t="shared" si="25"/>
        <v>738438.64364718215</v>
      </c>
      <c r="C294" s="1">
        <f t="shared" si="26"/>
        <v>144146849.87143469</v>
      </c>
      <c r="D294" s="1">
        <f t="shared" si="27"/>
        <v>-123182307.2530503</v>
      </c>
      <c r="E294" s="1">
        <f t="shared" si="28"/>
        <v>276215382.17485482</v>
      </c>
      <c r="F294" s="1">
        <f t="shared" si="30"/>
        <v>1726507534.4005938</v>
      </c>
    </row>
    <row r="295" spans="1:6" x14ac:dyDescent="0.35">
      <c r="A295" s="1">
        <f t="shared" si="29"/>
        <v>293000000</v>
      </c>
      <c r="B295">
        <f t="shared" si="25"/>
        <v>740431.20029847277</v>
      </c>
      <c r="C295" s="1">
        <f t="shared" si="26"/>
        <v>144852690.17088154</v>
      </c>
      <c r="D295" s="1">
        <f t="shared" si="27"/>
        <v>-124130326.3825807</v>
      </c>
      <c r="E295" s="1">
        <f t="shared" si="28"/>
        <v>277816289.81571388</v>
      </c>
      <c r="F295" s="1">
        <f t="shared" si="30"/>
        <v>1728467459.4746475</v>
      </c>
    </row>
    <row r="296" spans="1:6" x14ac:dyDescent="0.35">
      <c r="A296" s="1">
        <f t="shared" si="29"/>
        <v>294000000</v>
      </c>
      <c r="B296">
        <f t="shared" si="25"/>
        <v>742422.31711390254</v>
      </c>
      <c r="C296" s="1">
        <f t="shared" si="26"/>
        <v>145559564.16585943</v>
      </c>
      <c r="D296" s="1">
        <f t="shared" si="27"/>
        <v>-125081522.38312963</v>
      </c>
      <c r="E296" s="1">
        <f t="shared" si="28"/>
        <v>279420208.72939342</v>
      </c>
      <c r="F296" s="1">
        <f t="shared" si="30"/>
        <v>1730424989.6907406</v>
      </c>
    </row>
    <row r="297" spans="1:6" x14ac:dyDescent="0.35">
      <c r="A297" s="1">
        <f t="shared" si="29"/>
        <v>295000000</v>
      </c>
      <c r="B297">
        <f t="shared" si="25"/>
        <v>744412.00002602662</v>
      </c>
      <c r="C297" s="1">
        <f t="shared" si="26"/>
        <v>146267469.84650493</v>
      </c>
      <c r="D297" s="1">
        <f t="shared" si="27"/>
        <v>-126035893.24483362</v>
      </c>
      <c r="E297" s="1">
        <f t="shared" si="28"/>
        <v>281027132.58158123</v>
      </c>
      <c r="F297" s="1">
        <f t="shared" si="30"/>
        <v>1732380136.1688085</v>
      </c>
    </row>
    <row r="298" spans="1:6" x14ac:dyDescent="0.35">
      <c r="A298" s="1">
        <f t="shared" si="29"/>
        <v>296000000</v>
      </c>
      <c r="B298">
        <f t="shared" si="25"/>
        <v>746400.25492293586</v>
      </c>
      <c r="C298" s="1">
        <f t="shared" si="26"/>
        <v>146976405.21366739</v>
      </c>
      <c r="D298" s="1">
        <f t="shared" si="27"/>
        <v>-126993436.96854204</v>
      </c>
      <c r="E298" s="1">
        <f t="shared" si="28"/>
        <v>282637055.0736928</v>
      </c>
      <c r="F298" s="1">
        <f t="shared" si="30"/>
        <v>1734332909.9362571</v>
      </c>
    </row>
    <row r="299" spans="1:6" x14ac:dyDescent="0.35">
      <c r="A299" s="1">
        <f t="shared" si="29"/>
        <v>297000000</v>
      </c>
      <c r="B299">
        <f t="shared" si="25"/>
        <v>748387.0876487426</v>
      </c>
      <c r="C299" s="1">
        <f t="shared" si="26"/>
        <v>147686368.27881604</v>
      </c>
      <c r="D299" s="1">
        <f t="shared" si="27"/>
        <v>-127954151.56572413</v>
      </c>
      <c r="E299" s="1">
        <f t="shared" si="28"/>
        <v>284249969.94254571</v>
      </c>
      <c r="F299" s="1">
        <f t="shared" si="30"/>
        <v>1736283321.9290688</v>
      </c>
    </row>
    <row r="300" spans="1:6" x14ac:dyDescent="0.35">
      <c r="A300" s="1">
        <f t="shared" si="29"/>
        <v>298000000</v>
      </c>
      <c r="B300">
        <f t="shared" si="25"/>
        <v>750372.50400404574</v>
      </c>
      <c r="C300" s="1">
        <f t="shared" si="26"/>
        <v>148397357.06394711</v>
      </c>
      <c r="D300" s="1">
        <f t="shared" si="27"/>
        <v>-128918035.05837607</v>
      </c>
      <c r="E300" s="1">
        <f t="shared" si="28"/>
        <v>285865870.96003824</v>
      </c>
      <c r="F300" s="1">
        <f t="shared" si="30"/>
        <v>1738231382.9928892</v>
      </c>
    </row>
    <row r="301" spans="1:6" x14ac:dyDescent="0.35">
      <c r="A301" s="1">
        <f t="shared" si="29"/>
        <v>299000000</v>
      </c>
      <c r="B301">
        <f t="shared" si="25"/>
        <v>752356.50974641356</v>
      </c>
      <c r="C301" s="1">
        <f t="shared" si="26"/>
        <v>149109369.60149419</v>
      </c>
      <c r="D301" s="1">
        <f t="shared" si="27"/>
        <v>-129885085.47893152</v>
      </c>
      <c r="E301" s="1">
        <f t="shared" si="28"/>
        <v>287484751.93283308</v>
      </c>
      <c r="F301" s="1">
        <f t="shared" si="30"/>
        <v>1740177103.8840992</v>
      </c>
    </row>
    <row r="302" spans="1:6" x14ac:dyDescent="0.35">
      <c r="A302" s="1">
        <f t="shared" si="29"/>
        <v>300000000</v>
      </c>
      <c r="B302">
        <f t="shared" si="25"/>
        <v>754339.11059083475</v>
      </c>
      <c r="C302" s="1">
        <f t="shared" si="26"/>
        <v>149822403.9342373</v>
      </c>
      <c r="D302" s="1">
        <f t="shared" si="27"/>
        <v>-130855300.87017044</v>
      </c>
      <c r="E302" s="1">
        <f t="shared" si="28"/>
        <v>289106606.70204306</v>
      </c>
      <c r="F302" s="1">
        <f t="shared" si="30"/>
        <v>1742120495.2708697</v>
      </c>
    </row>
    <row r="303" spans="1:6" x14ac:dyDescent="0.35">
      <c r="A303" s="1">
        <f t="shared" si="29"/>
        <v>301000000</v>
      </c>
      <c r="B303">
        <f t="shared" si="25"/>
        <v>756320.31221018033</v>
      </c>
      <c r="C303" s="1">
        <f t="shared" si="26"/>
        <v>150536458.11521506</v>
      </c>
      <c r="D303" s="1">
        <f t="shared" si="27"/>
        <v>-131828679.2851315</v>
      </c>
      <c r="E303" s="1">
        <f t="shared" si="28"/>
        <v>290731429.14292312</v>
      </c>
      <c r="F303" s="1">
        <f t="shared" si="30"/>
        <v>1744061567.7341995</v>
      </c>
    </row>
    <row r="304" spans="1:6" x14ac:dyDescent="0.35">
      <c r="A304" s="1">
        <f t="shared" si="29"/>
        <v>302000000</v>
      </c>
      <c r="B304">
        <f t="shared" si="25"/>
        <v>758300.12023564463</v>
      </c>
      <c r="C304" s="1">
        <f t="shared" si="26"/>
        <v>151251530.20763573</v>
      </c>
      <c r="D304" s="1">
        <f t="shared" si="27"/>
        <v>-132805218.78702292</v>
      </c>
      <c r="E304" s="1">
        <f t="shared" si="28"/>
        <v>292359213.16456288</v>
      </c>
      <c r="F304" s="1">
        <f t="shared" si="30"/>
        <v>1746000331.7689381</v>
      </c>
    </row>
    <row r="305" spans="1:6" x14ac:dyDescent="0.35">
      <c r="A305" s="1">
        <f t="shared" si="29"/>
        <v>303000000</v>
      </c>
      <c r="B305">
        <f t="shared" si="25"/>
        <v>760278.54025720432</v>
      </c>
      <c r="C305" s="1">
        <f t="shared" si="26"/>
        <v>151967618.28479227</v>
      </c>
      <c r="D305" s="1">
        <f t="shared" si="27"/>
        <v>-133784917.44913769</v>
      </c>
      <c r="E305" s="1">
        <f t="shared" si="28"/>
        <v>293989952.70958692</v>
      </c>
      <c r="F305" s="1">
        <f t="shared" si="30"/>
        <v>1747936797.7847929</v>
      </c>
    </row>
    <row r="306" spans="1:6" x14ac:dyDescent="0.35">
      <c r="A306" s="1">
        <f t="shared" si="29"/>
        <v>304000000</v>
      </c>
      <c r="B306">
        <f t="shared" si="25"/>
        <v>762255.57782403566</v>
      </c>
      <c r="C306" s="1">
        <f t="shared" si="26"/>
        <v>152684720.42997512</v>
      </c>
      <c r="D306" s="1">
        <f t="shared" si="27"/>
        <v>-134767773.35476619</v>
      </c>
      <c r="E306" s="1">
        <f t="shared" si="28"/>
        <v>295623641.75385535</v>
      </c>
      <c r="F306" s="1">
        <f t="shared" si="30"/>
        <v>1749870976.107321</v>
      </c>
    </row>
    <row r="307" spans="1:6" x14ac:dyDescent="0.35">
      <c r="A307" s="1">
        <f t="shared" si="29"/>
        <v>305000000</v>
      </c>
      <c r="B307">
        <f t="shared" si="25"/>
        <v>764231.23844495788</v>
      </c>
      <c r="C307" s="1">
        <f t="shared" si="26"/>
        <v>153402834.73638839</v>
      </c>
      <c r="D307" s="1">
        <f t="shared" si="27"/>
        <v>-135753784.59711263</v>
      </c>
      <c r="E307" s="1">
        <f t="shared" si="28"/>
        <v>297260274.30617011</v>
      </c>
      <c r="F307" s="1">
        <f t="shared" si="30"/>
        <v>1751802876.9789052</v>
      </c>
    </row>
    <row r="308" spans="1:6" x14ac:dyDescent="0.35">
      <c r="A308" s="1">
        <f t="shared" si="29"/>
        <v>306000000</v>
      </c>
      <c r="B308">
        <f t="shared" si="25"/>
        <v>766205.52758885594</v>
      </c>
      <c r="C308" s="1">
        <f t="shared" si="26"/>
        <v>154121959.30706617</v>
      </c>
      <c r="D308" s="1">
        <f t="shared" si="27"/>
        <v>-136742949.27921101</v>
      </c>
      <c r="E308" s="1">
        <f t="shared" si="28"/>
        <v>298899844.40798372</v>
      </c>
      <c r="F308" s="1">
        <f t="shared" si="30"/>
        <v>1753732510.5597169</v>
      </c>
    </row>
    <row r="309" spans="1:6" x14ac:dyDescent="0.35">
      <c r="A309" s="1">
        <f t="shared" si="29"/>
        <v>307000000</v>
      </c>
      <c r="B309">
        <f t="shared" si="25"/>
        <v>768178.45068510075</v>
      </c>
      <c r="C309" s="1">
        <f t="shared" si="26"/>
        <v>154842092.25479001</v>
      </c>
      <c r="D309" s="1">
        <f t="shared" si="27"/>
        <v>-137735265.51384294</v>
      </c>
      <c r="E309" s="1">
        <f t="shared" si="28"/>
        <v>300542346.13311267</v>
      </c>
      <c r="F309" s="1">
        <f t="shared" si="30"/>
        <v>1755659886.9286633</v>
      </c>
    </row>
    <row r="310" spans="1:6" x14ac:dyDescent="0.35">
      <c r="A310" s="1">
        <f t="shared" si="29"/>
        <v>308000000</v>
      </c>
      <c r="B310">
        <f t="shared" si="25"/>
        <v>770150.01312395604</v>
      </c>
      <c r="C310" s="1">
        <f t="shared" si="26"/>
        <v>155563231.70200673</v>
      </c>
      <c r="D310" s="1">
        <f t="shared" si="27"/>
        <v>-138730731.42345521</v>
      </c>
      <c r="E310" s="1">
        <f t="shared" si="28"/>
        <v>302187773.58745295</v>
      </c>
      <c r="F310" s="1">
        <f t="shared" si="30"/>
        <v>1757585016.0843201</v>
      </c>
    </row>
    <row r="311" spans="1:6" x14ac:dyDescent="0.35">
      <c r="A311" s="1">
        <f t="shared" si="29"/>
        <v>309000000</v>
      </c>
      <c r="B311">
        <f t="shared" si="25"/>
        <v>772120.22025699331</v>
      </c>
      <c r="C311" s="1">
        <f t="shared" si="26"/>
        <v>156285375.78074792</v>
      </c>
      <c r="D311" s="1">
        <f t="shared" si="27"/>
        <v>-139729345.14007941</v>
      </c>
      <c r="E311" s="1">
        <f t="shared" si="28"/>
        <v>303836120.90869945</v>
      </c>
      <c r="F311" s="1">
        <f t="shared" si="30"/>
        <v>1759507907.9458518</v>
      </c>
    </row>
    <row r="312" spans="1:6" x14ac:dyDescent="0.35">
      <c r="A312" s="1">
        <f t="shared" si="29"/>
        <v>310000000</v>
      </c>
      <c r="B312">
        <f t="shared" si="25"/>
        <v>774089.07739748736</v>
      </c>
      <c r="C312" s="1">
        <f t="shared" si="26"/>
        <v>157008522.63255036</v>
      </c>
      <c r="D312" s="1">
        <f t="shared" si="27"/>
        <v>-140731104.80525231</v>
      </c>
      <c r="E312" s="1">
        <f t="shared" si="28"/>
        <v>305487382.26607049</v>
      </c>
      <c r="F312" s="1">
        <f t="shared" si="30"/>
        <v>1761428572.3539171</v>
      </c>
    </row>
    <row r="313" spans="1:6" x14ac:dyDescent="0.35">
      <c r="A313" s="1">
        <f t="shared" si="29"/>
        <v>311000000</v>
      </c>
      <c r="B313">
        <f t="shared" si="25"/>
        <v>776056.58982081839</v>
      </c>
      <c r="C313" s="1">
        <f t="shared" si="26"/>
        <v>157732670.40837657</v>
      </c>
      <c r="D313" s="1">
        <f t="shared" si="27"/>
        <v>-141736008.56993645</v>
      </c>
      <c r="E313" s="1">
        <f t="shared" si="28"/>
        <v>307141551.8600316</v>
      </c>
      <c r="F313" s="1">
        <f t="shared" si="30"/>
        <v>1763347019.0715611</v>
      </c>
    </row>
    <row r="314" spans="1:6" x14ac:dyDescent="0.35">
      <c r="A314" s="1">
        <f t="shared" si="29"/>
        <v>312000000</v>
      </c>
      <c r="B314">
        <f t="shared" si="25"/>
        <v>778022.76276486507</v>
      </c>
      <c r="C314" s="1">
        <f t="shared" si="26"/>
        <v>158457817.26853788</v>
      </c>
      <c r="D314" s="1">
        <f t="shared" si="27"/>
        <v>-142744054.59444317</v>
      </c>
      <c r="E314" s="1">
        <f t="shared" si="28"/>
        <v>308798623.92202795</v>
      </c>
      <c r="F314" s="1">
        <f t="shared" si="30"/>
        <v>1765263257.7850945</v>
      </c>
    </row>
    <row r="315" spans="1:6" x14ac:dyDescent="0.35">
      <c r="A315" s="1">
        <f t="shared" si="29"/>
        <v>313000000</v>
      </c>
      <c r="B315">
        <f t="shared" si="25"/>
        <v>779987.60143037979</v>
      </c>
      <c r="C315" s="1">
        <f t="shared" si="26"/>
        <v>159183961.38261577</v>
      </c>
      <c r="D315" s="1">
        <f t="shared" si="27"/>
        <v>-143755241.04835394</v>
      </c>
      <c r="E315" s="1">
        <f t="shared" si="28"/>
        <v>310458592.7142145</v>
      </c>
      <c r="F315" s="1">
        <f t="shared" si="30"/>
        <v>1767177298.10496</v>
      </c>
    </row>
    <row r="316" spans="1:6" x14ac:dyDescent="0.35">
      <c r="A316" s="1">
        <f t="shared" si="29"/>
        <v>314000000</v>
      </c>
      <c r="B316">
        <f t="shared" si="25"/>
        <v>781951.11098138115</v>
      </c>
      <c r="C316" s="1">
        <f t="shared" si="26"/>
        <v>159911100.92938736</v>
      </c>
      <c r="D316" s="1">
        <f t="shared" si="27"/>
        <v>-144769566.11044586</v>
      </c>
      <c r="E316" s="1">
        <f t="shared" si="28"/>
        <v>312121452.52919459</v>
      </c>
      <c r="F316" s="1">
        <f t="shared" si="30"/>
        <v>1769089149.5665851</v>
      </c>
    </row>
    <row r="317" spans="1:6" x14ac:dyDescent="0.35">
      <c r="A317" s="1">
        <f t="shared" si="29"/>
        <v>315000000</v>
      </c>
      <c r="B317">
        <f t="shared" si="25"/>
        <v>783913.29654552077</v>
      </c>
      <c r="C317" s="1">
        <f t="shared" si="26"/>
        <v>160639234.09674835</v>
      </c>
      <c r="D317" s="1">
        <f t="shared" si="27"/>
        <v>-145787027.96861464</v>
      </c>
      <c r="E317" s="1">
        <f t="shared" si="28"/>
        <v>313787197.68975592</v>
      </c>
      <c r="F317" s="1">
        <f t="shared" si="30"/>
        <v>1770998821.6312242</v>
      </c>
    </row>
    <row r="318" spans="1:6" x14ac:dyDescent="0.35">
      <c r="A318" s="1">
        <f t="shared" si="29"/>
        <v>316000000</v>
      </c>
      <c r="B318">
        <f t="shared" si="25"/>
        <v>785874.16321446246</v>
      </c>
      <c r="C318" s="1">
        <f t="shared" si="26"/>
        <v>161368359.08164012</v>
      </c>
      <c r="D318" s="1">
        <f t="shared" si="27"/>
        <v>-146807624.81980169</v>
      </c>
      <c r="E318" s="1">
        <f t="shared" si="28"/>
        <v>315455822.54861557</v>
      </c>
      <c r="F318" s="1">
        <f t="shared" si="30"/>
        <v>1772906323.6867864</v>
      </c>
    </row>
    <row r="319" spans="1:6" x14ac:dyDescent="0.35">
      <c r="A319" s="1">
        <f t="shared" si="29"/>
        <v>317000000</v>
      </c>
      <c r="B319">
        <f t="shared" si="25"/>
        <v>787833.71604423912</v>
      </c>
      <c r="C319" s="1">
        <f t="shared" si="26"/>
        <v>162098474.08997488</v>
      </c>
      <c r="D319" s="1">
        <f t="shared" si="27"/>
        <v>-147831354.86991918</v>
      </c>
      <c r="E319" s="1">
        <f t="shared" si="28"/>
        <v>317127321.48816359</v>
      </c>
      <c r="F319" s="1">
        <f t="shared" si="30"/>
        <v>1774811665.0486529</v>
      </c>
    </row>
    <row r="320" spans="1:6" x14ac:dyDescent="0.35">
      <c r="A320" s="1">
        <f t="shared" si="29"/>
        <v>318000000</v>
      </c>
      <c r="B320">
        <f t="shared" si="25"/>
        <v>789791.96005562483</v>
      </c>
      <c r="C320" s="1">
        <f t="shared" si="26"/>
        <v>162829577.33656439</v>
      </c>
      <c r="D320" s="1">
        <f t="shared" si="27"/>
        <v>-148858216.33377886</v>
      </c>
      <c r="E320" s="1">
        <f t="shared" si="28"/>
        <v>318801688.92021328</v>
      </c>
      <c r="F320" s="1">
        <f t="shared" si="30"/>
        <v>1776714854.9604814</v>
      </c>
    </row>
    <row r="321" spans="1:6" x14ac:dyDescent="0.35">
      <c r="A321" s="1">
        <f t="shared" si="29"/>
        <v>319000000</v>
      </c>
      <c r="B321">
        <f t="shared" si="25"/>
        <v>791748.90023447142</v>
      </c>
      <c r="C321" s="1">
        <f t="shared" si="26"/>
        <v>163561667.04504514</v>
      </c>
      <c r="D321" s="1">
        <f t="shared" si="27"/>
        <v>-149888207.43501729</v>
      </c>
      <c r="E321" s="1">
        <f t="shared" si="28"/>
        <v>320478919.28574777</v>
      </c>
      <c r="F321" s="1">
        <f t="shared" si="30"/>
        <v>1778615902.5949998</v>
      </c>
    </row>
    <row r="322" spans="1:6" x14ac:dyDescent="0.35">
      <c r="A322" s="1">
        <f t="shared" si="29"/>
        <v>320000000</v>
      </c>
      <c r="B322">
        <f t="shared" ref="B322:B385" si="31">$M$3*A322^$M$4</f>
        <v>793704.54153208702</v>
      </c>
      <c r="C322" s="1">
        <f t="shared" ref="C322:C385" si="32">$M$7*A322*B322^$M$8</f>
        <v>164294741.44781062</v>
      </c>
      <c r="D322" s="1">
        <f t="shared" ref="D322:D385" si="33">$M$1*A322*(1-A322/$M$2)-C322</f>
        <v>-150921326.40602788</v>
      </c>
      <c r="E322" s="1">
        <f t="shared" ref="E322:E362" si="34">$M$5*C322-$M$6*B322</f>
        <v>322159007.05467939</v>
      </c>
      <c r="F322" s="1">
        <f t="shared" si="30"/>
        <v>1780514817.0547876</v>
      </c>
    </row>
    <row r="323" spans="1:6" x14ac:dyDescent="0.35">
      <c r="A323" s="1">
        <f t="shared" si="29"/>
        <v>321000000</v>
      </c>
      <c r="B323">
        <f t="shared" si="31"/>
        <v>795658.88886555715</v>
      </c>
      <c r="C323" s="1">
        <f t="shared" si="32"/>
        <v>165028798.78593832</v>
      </c>
      <c r="D323" s="1">
        <f t="shared" si="33"/>
        <v>-151957571.48788819</v>
      </c>
      <c r="E323" s="1">
        <f t="shared" si="34"/>
        <v>323841946.72560322</v>
      </c>
      <c r="F323" s="1">
        <f t="shared" si="30"/>
        <v>1782411607.3730476</v>
      </c>
    </row>
    <row r="324" spans="1:6" x14ac:dyDescent="0.35">
      <c r="A324" s="1">
        <f t="shared" ref="A324:A362" si="35">A323+1000000</f>
        <v>322000000</v>
      </c>
      <c r="B324">
        <f t="shared" si="31"/>
        <v>797611.94711810246</v>
      </c>
      <c r="C324" s="1">
        <f t="shared" si="32"/>
        <v>165763837.3091211</v>
      </c>
      <c r="D324" s="1">
        <f t="shared" si="33"/>
        <v>-152996940.93029103</v>
      </c>
      <c r="E324" s="1">
        <f t="shared" si="34"/>
        <v>325527732.82555735</v>
      </c>
      <c r="F324" s="1">
        <f t="shared" si="30"/>
        <v>1784306282.5143642</v>
      </c>
    </row>
    <row r="325" spans="1:6" x14ac:dyDescent="0.35">
      <c r="A325" s="1">
        <f t="shared" si="35"/>
        <v>323000000</v>
      </c>
      <c r="B325">
        <f t="shared" si="31"/>
        <v>799563.72113941191</v>
      </c>
      <c r="C325" s="1">
        <f t="shared" si="32"/>
        <v>166499855.27559865</v>
      </c>
      <c r="D325" s="1">
        <f t="shared" si="33"/>
        <v>-154039432.99147609</v>
      </c>
      <c r="E325" s="1">
        <f t="shared" si="34"/>
        <v>327216359.90978634</v>
      </c>
      <c r="F325" s="1">
        <f t="shared" si="30"/>
        <v>1786198851.3754535</v>
      </c>
    </row>
    <row r="326" spans="1:6" x14ac:dyDescent="0.35">
      <c r="A326" s="1">
        <f t="shared" si="35"/>
        <v>324000000</v>
      </c>
      <c r="B326">
        <f t="shared" si="31"/>
        <v>801514.21574597678</v>
      </c>
      <c r="C326" s="1">
        <f t="shared" si="32"/>
        <v>167236850.95208916</v>
      </c>
      <c r="D326" s="1">
        <f t="shared" si="33"/>
        <v>-155085045.93816158</v>
      </c>
      <c r="E326" s="1">
        <f t="shared" si="34"/>
        <v>328907822.56150627</v>
      </c>
      <c r="F326" s="1">
        <f t="shared" si="30"/>
        <v>1788089322.7859008</v>
      </c>
    </row>
    <row r="327" spans="1:6" x14ac:dyDescent="0.35">
      <c r="A327" s="1">
        <f t="shared" si="35"/>
        <v>325000000</v>
      </c>
      <c r="B327">
        <f t="shared" si="31"/>
        <v>803463.43572141568</v>
      </c>
      <c r="C327" s="1">
        <f t="shared" si="32"/>
        <v>167974822.61372101</v>
      </c>
      <c r="D327" s="1">
        <f t="shared" si="33"/>
        <v>-156133778.0454759</v>
      </c>
      <c r="E327" s="1">
        <f t="shared" si="34"/>
        <v>330602115.39167017</v>
      </c>
      <c r="F327" s="1">
        <f t="shared" si="30"/>
        <v>1789977705.508889</v>
      </c>
    </row>
    <row r="328" spans="1:6" x14ac:dyDescent="0.35">
      <c r="A328" s="1">
        <f t="shared" si="35"/>
        <v>326000000</v>
      </c>
      <c r="B328">
        <f t="shared" si="31"/>
        <v>805411.38581680215</v>
      </c>
      <c r="C328" s="1">
        <f t="shared" si="32"/>
        <v>168713768.5439676</v>
      </c>
      <c r="D328" s="1">
        <f t="shared" si="33"/>
        <v>-157185627.59689239</v>
      </c>
      <c r="E328" s="1">
        <f t="shared" si="34"/>
        <v>332299233.03874183</v>
      </c>
      <c r="F328" s="1">
        <f t="shared" si="30"/>
        <v>1791864008.2419159</v>
      </c>
    </row>
    <row r="329" spans="1:6" x14ac:dyDescent="0.35">
      <c r="A329" s="1">
        <f t="shared" si="35"/>
        <v>327000000</v>
      </c>
      <c r="B329">
        <f t="shared" si="31"/>
        <v>807358.07075099333</v>
      </c>
      <c r="C329" s="1">
        <f t="shared" si="32"/>
        <v>169453687.03458151</v>
      </c>
      <c r="D329" s="1">
        <f t="shared" si="33"/>
        <v>-158240592.88416368</v>
      </c>
      <c r="E329" s="1">
        <f t="shared" si="34"/>
        <v>333999170.16846812</v>
      </c>
      <c r="F329" s="1">
        <f t="shared" si="30"/>
        <v>1793748239.6175017</v>
      </c>
    </row>
    <row r="330" spans="1:6" x14ac:dyDescent="0.35">
      <c r="A330" s="1">
        <f t="shared" si="35"/>
        <v>328000000</v>
      </c>
      <c r="B330">
        <f t="shared" si="31"/>
        <v>809303.49521093117</v>
      </c>
      <c r="C330" s="1">
        <f t="shared" si="32"/>
        <v>170194576.38552788</v>
      </c>
      <c r="D330" s="1">
        <f t="shared" si="33"/>
        <v>-159298672.20725489</v>
      </c>
      <c r="E330" s="1">
        <f t="shared" si="34"/>
        <v>335701921.47365284</v>
      </c>
      <c r="F330" s="1">
        <f t="shared" si="30"/>
        <v>1795630408.2038865</v>
      </c>
    </row>
    <row r="331" spans="1:6" x14ac:dyDescent="0.35">
      <c r="A331" s="1">
        <f t="shared" si="35"/>
        <v>329000000</v>
      </c>
      <c r="B331">
        <f t="shared" si="31"/>
        <v>811247.66385196405</v>
      </c>
      <c r="C331" s="1">
        <f t="shared" si="32"/>
        <v>170936434.90492141</v>
      </c>
      <c r="D331" s="1">
        <f t="shared" si="33"/>
        <v>-160359863.87428075</v>
      </c>
      <c r="E331" s="1">
        <f t="shared" si="34"/>
        <v>337407481.67393738</v>
      </c>
      <c r="F331" s="1">
        <f t="shared" si="30"/>
        <v>1797510522.5057185</v>
      </c>
    </row>
    <row r="332" spans="1:6" x14ac:dyDescent="0.35">
      <c r="A332" s="1">
        <f t="shared" si="35"/>
        <v>330000000</v>
      </c>
      <c r="B332">
        <f t="shared" si="31"/>
        <v>813190.58129815361</v>
      </c>
      <c r="C332" s="1">
        <f t="shared" si="32"/>
        <v>171679260.90896177</v>
      </c>
      <c r="D332" s="1">
        <f t="shared" si="33"/>
        <v>-161424166.20144087</v>
      </c>
      <c r="E332" s="1">
        <f t="shared" si="34"/>
        <v>339115845.51557934</v>
      </c>
      <c r="F332" s="1">
        <f t="shared" si="30"/>
        <v>1799388590.9647319</v>
      </c>
    </row>
    <row r="333" spans="1:6" x14ac:dyDescent="0.35">
      <c r="A333" s="1">
        <f t="shared" si="35"/>
        <v>331000000</v>
      </c>
      <c r="B333">
        <f t="shared" si="31"/>
        <v>815132.25214257976</v>
      </c>
      <c r="C333" s="1">
        <f t="shared" si="32"/>
        <v>172423052.72187126</v>
      </c>
      <c r="D333" s="1">
        <f t="shared" si="33"/>
        <v>-162491577.5129576</v>
      </c>
      <c r="E333" s="1">
        <f t="shared" si="34"/>
        <v>340827007.77123773</v>
      </c>
      <c r="F333" s="1">
        <f t="shared" si="30"/>
        <v>1801264621.9604163</v>
      </c>
    </row>
    <row r="334" spans="1:6" x14ac:dyDescent="0.35">
      <c r="A334" s="1">
        <f t="shared" si="35"/>
        <v>332000000</v>
      </c>
      <c r="B334">
        <f t="shared" si="31"/>
        <v>817072.68094763695</v>
      </c>
      <c r="C334" s="1">
        <f t="shared" si="32"/>
        <v>173167808.67583159</v>
      </c>
      <c r="D334" s="1">
        <f t="shared" si="33"/>
        <v>-163562096.14101264</v>
      </c>
      <c r="E334" s="1">
        <f t="shared" si="34"/>
        <v>342540963.23975688</v>
      </c>
      <c r="F334" s="1">
        <f t="shared" si="30"/>
        <v>1803138623.8106756</v>
      </c>
    </row>
    <row r="335" spans="1:6" x14ac:dyDescent="0.35">
      <c r="A335" s="1">
        <f t="shared" si="35"/>
        <v>333000000</v>
      </c>
      <c r="B335">
        <f t="shared" si="31"/>
        <v>819011.87224534166</v>
      </c>
      <c r="C335" s="1">
        <f t="shared" si="32"/>
        <v>173913527.1109238</v>
      </c>
      <c r="D335" s="1">
        <f t="shared" si="33"/>
        <v>-164635720.42568702</v>
      </c>
      <c r="E335" s="1">
        <f t="shared" si="34"/>
        <v>344257706.74595702</v>
      </c>
      <c r="F335" s="1">
        <f t="shared" si="30"/>
        <v>1805010604.7724795</v>
      </c>
    </row>
    <row r="336" spans="1:6" x14ac:dyDescent="0.35">
      <c r="A336" s="1">
        <f t="shared" si="35"/>
        <v>334000000</v>
      </c>
      <c r="B336">
        <f t="shared" si="31"/>
        <v>820949.83053760801</v>
      </c>
      <c r="C336" s="1">
        <f t="shared" si="32"/>
        <v>174660206.37506443</v>
      </c>
      <c r="D336" s="1">
        <f t="shared" si="33"/>
        <v>-165712448.7148973</v>
      </c>
      <c r="E336" s="1">
        <f t="shared" si="34"/>
        <v>345977233.14041996</v>
      </c>
      <c r="F336" s="1">
        <f t="shared" si="30"/>
        <v>1806880573.0425043</v>
      </c>
    </row>
    <row r="337" spans="1:6" x14ac:dyDescent="0.35">
      <c r="A337" s="1">
        <f t="shared" si="35"/>
        <v>335000000</v>
      </c>
      <c r="B337">
        <f t="shared" si="31"/>
        <v>822886.5602965568</v>
      </c>
      <c r="C337" s="1">
        <f t="shared" si="32"/>
        <v>175407844.8239488</v>
      </c>
      <c r="D337" s="1">
        <f t="shared" si="33"/>
        <v>-166792279.36433879</v>
      </c>
      <c r="E337" s="1">
        <f t="shared" si="34"/>
        <v>347699537.29928857</v>
      </c>
      <c r="F337" s="1">
        <f t="shared" si="30"/>
        <v>1808748536.7577665</v>
      </c>
    </row>
    <row r="338" spans="1:6" x14ac:dyDescent="0.35">
      <c r="A338" s="1">
        <f t="shared" si="35"/>
        <v>336000000</v>
      </c>
      <c r="B338">
        <f t="shared" si="31"/>
        <v>824822.06596478214</v>
      </c>
      <c r="C338" s="1">
        <f t="shared" si="32"/>
        <v>176156440.8209874</v>
      </c>
      <c r="D338" s="1">
        <f t="shared" si="33"/>
        <v>-167875210.73742193</v>
      </c>
      <c r="E338" s="1">
        <f t="shared" si="34"/>
        <v>349424614.12405437</v>
      </c>
      <c r="F338" s="1">
        <f t="shared" si="30"/>
        <v>1810614503.9962461</v>
      </c>
    </row>
    <row r="339" spans="1:6" x14ac:dyDescent="0.35">
      <c r="A339" s="1">
        <f t="shared" si="35"/>
        <v>337000000</v>
      </c>
      <c r="B339">
        <f t="shared" si="31"/>
        <v>826756.35195565107</v>
      </c>
      <c r="C339" s="1">
        <f t="shared" si="32"/>
        <v>176905992.73725039</v>
      </c>
      <c r="D339" s="1">
        <f t="shared" si="33"/>
        <v>-168961241.20521697</v>
      </c>
      <c r="E339" s="1">
        <f t="shared" si="34"/>
        <v>351152458.54136145</v>
      </c>
      <c r="F339" s="1">
        <f t="shared" si="30"/>
        <v>1812478482.7775035</v>
      </c>
    </row>
    <row r="340" spans="1:6" x14ac:dyDescent="0.35">
      <c r="A340" s="1">
        <f t="shared" si="35"/>
        <v>338000000</v>
      </c>
      <c r="B340">
        <f t="shared" si="31"/>
        <v>828689.42265356868</v>
      </c>
      <c r="C340" s="1">
        <f t="shared" si="32"/>
        <v>177656498.95140657</v>
      </c>
      <c r="D340" s="1">
        <f t="shared" si="33"/>
        <v>-170050369.14639264</v>
      </c>
      <c r="E340" s="1">
        <f t="shared" si="34"/>
        <v>352883065.50280178</v>
      </c>
      <c r="F340" s="1">
        <f t="shared" si="30"/>
        <v>1814340481.0632858</v>
      </c>
    </row>
    <row r="341" spans="1:6" x14ac:dyDescent="0.35">
      <c r="A341" s="1">
        <f t="shared" si="35"/>
        <v>339000000</v>
      </c>
      <c r="B341">
        <f t="shared" si="31"/>
        <v>830621.28241425974</v>
      </c>
      <c r="C341" s="1">
        <f t="shared" si="32"/>
        <v>178407957.84966648</v>
      </c>
      <c r="D341" s="1">
        <f t="shared" si="33"/>
        <v>-171142592.9471595</v>
      </c>
      <c r="E341" s="1">
        <f t="shared" si="34"/>
        <v>354616429.98471779</v>
      </c>
      <c r="F341" s="1">
        <f t="shared" si="30"/>
        <v>1816200506.758127</v>
      </c>
    </row>
    <row r="342" spans="1:6" x14ac:dyDescent="0.35">
      <c r="A342" s="1">
        <f t="shared" si="35"/>
        <v>340000000</v>
      </c>
      <c r="B342">
        <f t="shared" si="31"/>
        <v>832551.93556503952</v>
      </c>
      <c r="C342" s="1">
        <f t="shared" si="32"/>
        <v>179160367.82572559</v>
      </c>
      <c r="D342" s="1">
        <f t="shared" si="33"/>
        <v>-172237911.00121304</v>
      </c>
      <c r="E342" s="1">
        <f t="shared" si="34"/>
        <v>356352546.98800802</v>
      </c>
      <c r="F342" s="1">
        <f t="shared" si="30"/>
        <v>1818058567.709938</v>
      </c>
    </row>
    <row r="343" spans="1:6" x14ac:dyDescent="0.35">
      <c r="A343" s="1">
        <f t="shared" si="35"/>
        <v>341000000</v>
      </c>
      <c r="B343">
        <f t="shared" si="31"/>
        <v>834481.38640507788</v>
      </c>
      <c r="C343" s="1">
        <f t="shared" si="32"/>
        <v>179913727.2807065</v>
      </c>
      <c r="D343" s="1">
        <f t="shared" si="33"/>
        <v>-173336321.70967585</v>
      </c>
      <c r="E343" s="1">
        <f t="shared" si="34"/>
        <v>358091411.53793061</v>
      </c>
      <c r="F343" s="1">
        <f t="shared" si="30"/>
        <v>1819914671.7105906</v>
      </c>
    </row>
    <row r="344" spans="1:6" x14ac:dyDescent="0.35">
      <c r="A344" s="1">
        <f t="shared" si="35"/>
        <v>342000000</v>
      </c>
      <c r="B344">
        <f t="shared" si="31"/>
        <v>836409.63920567406</v>
      </c>
      <c r="C344" s="1">
        <f t="shared" si="32"/>
        <v>180668034.62310401</v>
      </c>
      <c r="D344" s="1">
        <f t="shared" si="33"/>
        <v>-174437823.48104274</v>
      </c>
      <c r="E344" s="1">
        <f t="shared" si="34"/>
        <v>359833018.68391275</v>
      </c>
      <c r="F344" s="1">
        <f t="shared" si="30"/>
        <v>1821768826.4964926</v>
      </c>
    </row>
    <row r="345" spans="1:6" x14ac:dyDescent="0.35">
      <c r="A345" s="1">
        <f t="shared" si="35"/>
        <v>343000000</v>
      </c>
      <c r="B345">
        <f t="shared" si="31"/>
        <v>838336.69821051287</v>
      </c>
      <c r="C345" s="1">
        <f t="shared" si="32"/>
        <v>181423288.26873013</v>
      </c>
      <c r="D345" s="1">
        <f t="shared" si="33"/>
        <v>-175542414.73112568</v>
      </c>
      <c r="E345" s="1">
        <f t="shared" si="34"/>
        <v>361577363.49936295</v>
      </c>
      <c r="F345" s="1">
        <f t="shared" si="30"/>
        <v>1823621039.7491555</v>
      </c>
    </row>
    <row r="346" spans="1:6" x14ac:dyDescent="0.35">
      <c r="A346" s="1">
        <f t="shared" si="35"/>
        <v>344000000</v>
      </c>
      <c r="B346">
        <f t="shared" si="31"/>
        <v>840262.56763591047</v>
      </c>
      <c r="C346" s="1">
        <f t="shared" si="32"/>
        <v>182179486.64065629</v>
      </c>
      <c r="D346" s="1">
        <f t="shared" si="33"/>
        <v>-176650093.88299611</v>
      </c>
      <c r="E346" s="1">
        <f t="shared" si="34"/>
        <v>363324441.0814777</v>
      </c>
      <c r="F346" s="1">
        <f t="shared" ref="F346:F362" si="36">F345+($M$9*F345-E346)/D346*(A346-A345)</f>
        <v>1825471319.0957546</v>
      </c>
    </row>
    <row r="347" spans="1:6" x14ac:dyDescent="0.35">
      <c r="A347" s="1">
        <f t="shared" si="35"/>
        <v>345000000</v>
      </c>
      <c r="B347">
        <f t="shared" si="31"/>
        <v>842187.25167109456</v>
      </c>
      <c r="C347" s="1">
        <f t="shared" si="32"/>
        <v>182936628.1691626</v>
      </c>
      <c r="D347" s="1">
        <f t="shared" si="33"/>
        <v>-177760859.36693418</v>
      </c>
      <c r="E347" s="1">
        <f t="shared" si="34"/>
        <v>365074246.55106157</v>
      </c>
      <c r="F347" s="1">
        <f t="shared" si="36"/>
        <v>1827319672.1096818</v>
      </c>
    </row>
    <row r="348" spans="1:6" x14ac:dyDescent="0.35">
      <c r="A348" s="1">
        <f t="shared" si="35"/>
        <v>346000000</v>
      </c>
      <c r="B348">
        <f t="shared" si="31"/>
        <v>844110.75447843701</v>
      </c>
      <c r="C348" s="1">
        <f t="shared" si="32"/>
        <v>183694711.29168212</v>
      </c>
      <c r="D348" s="1">
        <f t="shared" si="33"/>
        <v>-178874709.62037292</v>
      </c>
      <c r="E348" s="1">
        <f t="shared" si="34"/>
        <v>366826775.05234092</v>
      </c>
      <c r="F348" s="1">
        <f t="shared" si="36"/>
        <v>1829166106.3110907</v>
      </c>
    </row>
    <row r="349" spans="1:6" x14ac:dyDescent="0.35">
      <c r="A349" s="1">
        <f t="shared" si="35"/>
        <v>347000000</v>
      </c>
      <c r="B349">
        <f t="shared" si="31"/>
        <v>846033.08019371564</v>
      </c>
      <c r="C349" s="1">
        <f t="shared" si="32"/>
        <v>184453734.45274824</v>
      </c>
      <c r="D349" s="1">
        <f t="shared" si="33"/>
        <v>-179991643.08784571</v>
      </c>
      <c r="E349" s="1">
        <f t="shared" si="34"/>
        <v>368582021.75278181</v>
      </c>
      <c r="F349" s="1">
        <f t="shared" si="36"/>
        <v>1831010629.1674354</v>
      </c>
    </row>
    <row r="350" spans="1:6" x14ac:dyDescent="0.35">
      <c r="A350" s="1">
        <f t="shared" si="35"/>
        <v>348000000</v>
      </c>
      <c r="B350">
        <f t="shared" si="31"/>
        <v>847954.23292634927</v>
      </c>
      <c r="C350" s="1">
        <f t="shared" si="32"/>
        <v>185213696.10394183</v>
      </c>
      <c r="D350" s="1">
        <f t="shared" si="33"/>
        <v>-181111658.22093347</v>
      </c>
      <c r="E350" s="1">
        <f t="shared" si="34"/>
        <v>370339981.84291154</v>
      </c>
      <c r="F350" s="1">
        <f t="shared" si="36"/>
        <v>1832853248.0940011</v>
      </c>
    </row>
    <row r="351" spans="1:6" x14ac:dyDescent="0.35">
      <c r="A351" s="1">
        <f t="shared" si="35"/>
        <v>349000000</v>
      </c>
      <c r="B351">
        <f t="shared" si="31"/>
        <v>849874.21675964352</v>
      </c>
      <c r="C351" s="1">
        <f t="shared" si="32"/>
        <v>185974594.7038388</v>
      </c>
      <c r="D351" s="1">
        <f t="shared" si="33"/>
        <v>-182234753.47821206</v>
      </c>
      <c r="E351" s="1">
        <f t="shared" si="34"/>
        <v>372100650.53613931</v>
      </c>
      <c r="F351" s="1">
        <f t="shared" si="36"/>
        <v>1834693970.4544282</v>
      </c>
    </row>
    <row r="352" spans="1:6" x14ac:dyDescent="0.35">
      <c r="A352" s="1">
        <f t="shared" si="35"/>
        <v>350000000</v>
      </c>
      <c r="B352">
        <f t="shared" si="31"/>
        <v>851793.03575104242</v>
      </c>
      <c r="C352" s="1">
        <f t="shared" si="32"/>
        <v>186736428.71795934</v>
      </c>
      <c r="D352" s="1">
        <f t="shared" si="33"/>
        <v>-183360927.32520169</v>
      </c>
      <c r="E352" s="1">
        <f t="shared" si="34"/>
        <v>373864023.06858075</v>
      </c>
      <c r="F352" s="1">
        <f t="shared" si="36"/>
        <v>1836532803.5612302</v>
      </c>
    </row>
    <row r="353" spans="1:6" x14ac:dyDescent="0.35">
      <c r="A353" s="1">
        <f t="shared" si="35"/>
        <v>351000000</v>
      </c>
      <c r="B353">
        <f t="shared" si="31"/>
        <v>853710.69393235235</v>
      </c>
      <c r="C353" s="1">
        <f t="shared" si="32"/>
        <v>187499196.61871684</v>
      </c>
      <c r="D353" s="1">
        <f t="shared" si="33"/>
        <v>-184490178.23431572</v>
      </c>
      <c r="E353" s="1">
        <f t="shared" si="34"/>
        <v>375630094.69888556</v>
      </c>
      <c r="F353" s="1">
        <f t="shared" si="36"/>
        <v>1838369754.6763039</v>
      </c>
    </row>
    <row r="354" spans="1:6" x14ac:dyDescent="0.35">
      <c r="A354" s="1">
        <f t="shared" si="35"/>
        <v>352000000</v>
      </c>
      <c r="B354">
        <f t="shared" si="31"/>
        <v>855627.19530998066</v>
      </c>
      <c r="C354" s="1">
        <f t="shared" si="32"/>
        <v>188262896.8853665</v>
      </c>
      <c r="D354" s="1">
        <f t="shared" si="33"/>
        <v>-185622504.68480939</v>
      </c>
      <c r="E354" s="1">
        <f t="shared" si="34"/>
        <v>377398860.70806253</v>
      </c>
      <c r="F354" s="1">
        <f t="shared" si="36"/>
        <v>1840204831.0114334</v>
      </c>
    </row>
    <row r="355" spans="1:6" x14ac:dyDescent="0.35">
      <c r="A355" s="1">
        <f t="shared" si="35"/>
        <v>353000000</v>
      </c>
      <c r="B355">
        <f t="shared" si="31"/>
        <v>857542.5438651673</v>
      </c>
      <c r="C355" s="1">
        <f t="shared" si="32"/>
        <v>189027528.00395578</v>
      </c>
      <c r="D355" s="1">
        <f t="shared" si="33"/>
        <v>-186757905.16273016</v>
      </c>
      <c r="E355" s="1">
        <f t="shared" si="34"/>
        <v>379170316.39931005</v>
      </c>
      <c r="F355" s="1">
        <f t="shared" si="36"/>
        <v>1842038039.7287874</v>
      </c>
    </row>
    <row r="356" spans="1:6" x14ac:dyDescent="0.35">
      <c r="A356" s="1">
        <f t="shared" si="35"/>
        <v>354000000</v>
      </c>
      <c r="B356">
        <f t="shared" si="31"/>
        <v>859456.74355421506</v>
      </c>
      <c r="C356" s="1">
        <f t="shared" si="32"/>
        <v>189793088.46727484</v>
      </c>
      <c r="D356" s="1">
        <f t="shared" si="33"/>
        <v>-187896378.16086817</v>
      </c>
      <c r="E356" s="1">
        <f t="shared" si="34"/>
        <v>380944457.09784722</v>
      </c>
      <c r="F356" s="1">
        <f t="shared" si="36"/>
        <v>1843869387.9414105</v>
      </c>
    </row>
    <row r="357" spans="1:6" x14ac:dyDescent="0.35">
      <c r="A357" s="1">
        <f t="shared" si="35"/>
        <v>355000000</v>
      </c>
      <c r="B357">
        <f t="shared" si="31"/>
        <v>861369.79830871825</v>
      </c>
      <c r="C357" s="1">
        <f t="shared" si="32"/>
        <v>190559576.77480856</v>
      </c>
      <c r="D357" s="1">
        <f t="shared" si="33"/>
        <v>-189037922.17870826</v>
      </c>
      <c r="E357" s="1">
        <f t="shared" si="34"/>
        <v>382721278.15074921</v>
      </c>
      <c r="F357" s="1">
        <f t="shared" si="36"/>
        <v>1845698882.7137079</v>
      </c>
    </row>
    <row r="358" spans="1:6" x14ac:dyDescent="0.35">
      <c r="A358" s="1">
        <f t="shared" si="35"/>
        <v>356000000</v>
      </c>
      <c r="B358">
        <f t="shared" si="31"/>
        <v>863281.712035776</v>
      </c>
      <c r="C358" s="1">
        <f t="shared" si="32"/>
        <v>191326991.43268561</v>
      </c>
      <c r="D358" s="1">
        <f t="shared" si="33"/>
        <v>-190182535.72237921</v>
      </c>
      <c r="E358" s="1">
        <f t="shared" si="34"/>
        <v>384500774.92677748</v>
      </c>
      <c r="F358" s="1">
        <f t="shared" si="36"/>
        <v>1847526531.0619237</v>
      </c>
    </row>
    <row r="359" spans="1:6" x14ac:dyDescent="0.35">
      <c r="A359" s="1">
        <f t="shared" si="35"/>
        <v>357000000</v>
      </c>
      <c r="B359">
        <f t="shared" si="31"/>
        <v>865192.48861822253</v>
      </c>
      <c r="C359" s="1">
        <f t="shared" si="32"/>
        <v>192095330.95363277</v>
      </c>
      <c r="D359" s="1">
        <f t="shared" si="33"/>
        <v>-191330217.30460769</v>
      </c>
      <c r="E359" s="1">
        <f t="shared" si="34"/>
        <v>386282942.81622052</v>
      </c>
      <c r="F359" s="1">
        <f t="shared" si="36"/>
        <v>1849352339.9546132</v>
      </c>
    </row>
    <row r="360" spans="1:6" x14ac:dyDescent="0.35">
      <c r="A360" s="1">
        <f t="shared" si="35"/>
        <v>358000000</v>
      </c>
      <c r="B360">
        <f t="shared" si="31"/>
        <v>867102.1319148516</v>
      </c>
      <c r="C360" s="1">
        <f t="shared" si="32"/>
        <v>192864593.85692739</v>
      </c>
      <c r="D360" s="1">
        <f t="shared" si="33"/>
        <v>-192480965.44467112</v>
      </c>
      <c r="E360" s="1">
        <f t="shared" si="34"/>
        <v>388067777.23073167</v>
      </c>
      <c r="F360" s="1">
        <f t="shared" si="36"/>
        <v>1851176316.3131096</v>
      </c>
    </row>
    <row r="361" spans="1:6" x14ac:dyDescent="0.35">
      <c r="A361" s="1">
        <f t="shared" si="35"/>
        <v>359000000</v>
      </c>
      <c r="B361">
        <f t="shared" si="31"/>
        <v>869010.64576060791</v>
      </c>
      <c r="C361" s="1">
        <f t="shared" si="32"/>
        <v>193634778.66834733</v>
      </c>
      <c r="D361" s="1">
        <f t="shared" si="33"/>
        <v>-193634778.66834733</v>
      </c>
      <c r="E361" s="1">
        <f t="shared" si="34"/>
        <v>389855273.60316479</v>
      </c>
      <c r="F361" s="1">
        <f t="shared" si="36"/>
        <v>1852998467.0119839</v>
      </c>
    </row>
    <row r="362" spans="1:6" x14ac:dyDescent="0.35">
      <c r="A362" s="1">
        <f t="shared" si="35"/>
        <v>360000000</v>
      </c>
      <c r="B362">
        <f t="shared" si="31"/>
        <v>870918.0339668314</v>
      </c>
      <c r="C362" s="1">
        <f t="shared" si="32"/>
        <v>194405883.92012855</v>
      </c>
      <c r="D362" s="1">
        <f t="shared" si="33"/>
        <v>-194791655.50787228</v>
      </c>
      <c r="E362" s="1">
        <f t="shared" si="34"/>
        <v>391645427.38742191</v>
      </c>
      <c r="F362" s="1">
        <f t="shared" si="36"/>
        <v>1854818798.8794999</v>
      </c>
    </row>
    <row r="363" spans="1:6" x14ac:dyDescent="0.35">
      <c r="A363" s="1"/>
    </row>
    <row r="364" spans="1:6" x14ac:dyDescent="0.35">
      <c r="A364" s="1"/>
    </row>
    <row r="365" spans="1:6" x14ac:dyDescent="0.35">
      <c r="A365" s="1"/>
    </row>
    <row r="366" spans="1:6" x14ac:dyDescent="0.35">
      <c r="A366" s="1"/>
    </row>
    <row r="367" spans="1:6" x14ac:dyDescent="0.35">
      <c r="A367" s="1"/>
    </row>
    <row r="368" spans="1:6" x14ac:dyDescent="0.35">
      <c r="A368" s="1"/>
    </row>
    <row r="369" spans="1:1" x14ac:dyDescent="0.35">
      <c r="A369" s="1"/>
    </row>
    <row r="370" spans="1:1" x14ac:dyDescent="0.35">
      <c r="A370" s="1"/>
    </row>
    <row r="371" spans="1:1" x14ac:dyDescent="0.35">
      <c r="A371" s="1"/>
    </row>
    <row r="372" spans="1:1" x14ac:dyDescent="0.35">
      <c r="A372" s="1"/>
    </row>
    <row r="373" spans="1:1" x14ac:dyDescent="0.35">
      <c r="A373" s="1"/>
    </row>
    <row r="374" spans="1:1" x14ac:dyDescent="0.35">
      <c r="A374" s="1"/>
    </row>
    <row r="375" spans="1:1" x14ac:dyDescent="0.35">
      <c r="A375" s="1"/>
    </row>
    <row r="376" spans="1:1" x14ac:dyDescent="0.35">
      <c r="A376" s="1"/>
    </row>
    <row r="377" spans="1:1" x14ac:dyDescent="0.35">
      <c r="A377" s="1"/>
    </row>
    <row r="378" spans="1:1" x14ac:dyDescent="0.35">
      <c r="A378" s="1"/>
    </row>
    <row r="379" spans="1:1" x14ac:dyDescent="0.35">
      <c r="A379" s="1"/>
    </row>
    <row r="380" spans="1:1" x14ac:dyDescent="0.35">
      <c r="A380" s="1"/>
    </row>
    <row r="381" spans="1:1" x14ac:dyDescent="0.35">
      <c r="A381" s="1"/>
    </row>
    <row r="382" spans="1:1" x14ac:dyDescent="0.35">
      <c r="A382" s="1"/>
    </row>
    <row r="383" spans="1:1" x14ac:dyDescent="0.35">
      <c r="A383" s="1"/>
    </row>
    <row r="384" spans="1:1" x14ac:dyDescent="0.35">
      <c r="A384" s="1"/>
    </row>
    <row r="385" spans="1:1" x14ac:dyDescent="0.35">
      <c r="A385" s="1"/>
    </row>
    <row r="386" spans="1:1" x14ac:dyDescent="0.35">
      <c r="A386" s="1"/>
    </row>
    <row r="387" spans="1:1" x14ac:dyDescent="0.35">
      <c r="A387" s="1"/>
    </row>
    <row r="388" spans="1:1" x14ac:dyDescent="0.35">
      <c r="A388" s="1"/>
    </row>
    <row r="389" spans="1:1" x14ac:dyDescent="0.35">
      <c r="A389" s="1"/>
    </row>
    <row r="390" spans="1:1" x14ac:dyDescent="0.35">
      <c r="A390" s="1"/>
    </row>
    <row r="391" spans="1:1" x14ac:dyDescent="0.35">
      <c r="A391" s="1"/>
    </row>
    <row r="392" spans="1:1" x14ac:dyDescent="0.35">
      <c r="A392" s="1"/>
    </row>
    <row r="393" spans="1:1" x14ac:dyDescent="0.35">
      <c r="A393" s="1"/>
    </row>
    <row r="394" spans="1:1" x14ac:dyDescent="0.35">
      <c r="A394" s="1"/>
    </row>
    <row r="395" spans="1:1" x14ac:dyDescent="0.35">
      <c r="A395" s="1"/>
    </row>
    <row r="396" spans="1:1" x14ac:dyDescent="0.35">
      <c r="A396" s="1"/>
    </row>
    <row r="397" spans="1:1" x14ac:dyDescent="0.35">
      <c r="A397" s="1"/>
    </row>
    <row r="398" spans="1:1" x14ac:dyDescent="0.35">
      <c r="A398" s="1"/>
    </row>
    <row r="399" spans="1:1" x14ac:dyDescent="0.35">
      <c r="A399" s="1"/>
    </row>
    <row r="400" spans="1:1" x14ac:dyDescent="0.35">
      <c r="A400" s="1"/>
    </row>
    <row r="401" spans="1:1" x14ac:dyDescent="0.35">
      <c r="A401" s="1"/>
    </row>
    <row r="402" spans="1:1" x14ac:dyDescent="0.35">
      <c r="A402" s="1"/>
    </row>
    <row r="403" spans="1:1" x14ac:dyDescent="0.35">
      <c r="A403" s="1"/>
    </row>
    <row r="404" spans="1:1" x14ac:dyDescent="0.35">
      <c r="A404" s="1"/>
    </row>
    <row r="405" spans="1:1" x14ac:dyDescent="0.35">
      <c r="A405" s="1"/>
    </row>
    <row r="406" spans="1:1" x14ac:dyDescent="0.35">
      <c r="A406" s="1"/>
    </row>
    <row r="407" spans="1:1" x14ac:dyDescent="0.35">
      <c r="A407" s="1"/>
    </row>
    <row r="408" spans="1:1" x14ac:dyDescent="0.35">
      <c r="A408" s="1"/>
    </row>
    <row r="409" spans="1:1" x14ac:dyDescent="0.35">
      <c r="A409" s="1"/>
    </row>
    <row r="410" spans="1:1" x14ac:dyDescent="0.35">
      <c r="A410" s="1"/>
    </row>
    <row r="411" spans="1:1" x14ac:dyDescent="0.35">
      <c r="A411" s="1"/>
    </row>
    <row r="412" spans="1:1" x14ac:dyDescent="0.35">
      <c r="A412" s="1"/>
    </row>
    <row r="413" spans="1:1" x14ac:dyDescent="0.35">
      <c r="A413" s="1"/>
    </row>
    <row r="414" spans="1:1" x14ac:dyDescent="0.35">
      <c r="A414" s="1"/>
    </row>
    <row r="415" spans="1:1" x14ac:dyDescent="0.35">
      <c r="A415" s="1"/>
    </row>
    <row r="416" spans="1:1" x14ac:dyDescent="0.35">
      <c r="A416" s="1"/>
    </row>
    <row r="417" spans="1:1" x14ac:dyDescent="0.35">
      <c r="A417" s="1"/>
    </row>
    <row r="418" spans="1:1" x14ac:dyDescent="0.35">
      <c r="A418" s="1"/>
    </row>
    <row r="419" spans="1:1" x14ac:dyDescent="0.35">
      <c r="A419" s="1"/>
    </row>
    <row r="420" spans="1:1" x14ac:dyDescent="0.35">
      <c r="A420" s="1"/>
    </row>
    <row r="421" spans="1:1" x14ac:dyDescent="0.35">
      <c r="A421" s="1"/>
    </row>
    <row r="422" spans="1:1" x14ac:dyDescent="0.35">
      <c r="A422" s="1"/>
    </row>
    <row r="423" spans="1:1" x14ac:dyDescent="0.35">
      <c r="A423" s="1"/>
    </row>
    <row r="424" spans="1:1" x14ac:dyDescent="0.35">
      <c r="A424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D49A5-E687-4176-9F98-E692B6D230C9}">
  <dimension ref="A1:M362"/>
  <sheetViews>
    <sheetView tabSelected="1" zoomScale="79" workbookViewId="0">
      <selection activeCell="F9" sqref="F9"/>
    </sheetView>
  </sheetViews>
  <sheetFormatPr defaultRowHeight="14.5" x14ac:dyDescent="0.35"/>
  <cols>
    <col min="4" max="4" width="10.08984375" customWidth="1"/>
    <col min="5" max="5" width="11.6328125" customWidth="1"/>
    <col min="6" max="6" width="21.81640625" customWidth="1"/>
  </cols>
  <sheetData>
    <row r="1" spans="1:13" x14ac:dyDescent="0.35">
      <c r="A1" t="s">
        <v>8</v>
      </c>
      <c r="B1" t="s">
        <v>12</v>
      </c>
      <c r="C1" t="s">
        <v>10</v>
      </c>
      <c r="D1" t="s">
        <v>9</v>
      </c>
      <c r="E1" t="s">
        <v>11</v>
      </c>
      <c r="F1" t="s">
        <v>13</v>
      </c>
      <c r="L1" t="s">
        <v>0</v>
      </c>
      <c r="M1">
        <v>0.38469999999999999</v>
      </c>
    </row>
    <row r="2" spans="1:13" x14ac:dyDescent="0.35">
      <c r="A2">
        <v>0</v>
      </c>
      <c r="B2">
        <f t="shared" ref="B2:B65" si="0">$M$3*A2^$M$4</f>
        <v>0</v>
      </c>
      <c r="C2" s="1">
        <f t="shared" ref="C2:C65" si="1">$M$7*A2*B2^$M$8</f>
        <v>0</v>
      </c>
      <c r="D2" s="1">
        <f t="shared" ref="D2:D65" si="2">$M$1*A2*(A2/$M$10-1)*(1-A2/$M$2)-C2</f>
        <v>0</v>
      </c>
      <c r="E2" s="1">
        <f t="shared" ref="E2:E65" si="3">$M$5*C2-$M$6*B2</f>
        <v>0</v>
      </c>
      <c r="F2" s="1">
        <v>0</v>
      </c>
      <c r="L2" t="s">
        <v>1</v>
      </c>
      <c r="M2" s="1">
        <v>359000000</v>
      </c>
    </row>
    <row r="3" spans="1:13" x14ac:dyDescent="0.35">
      <c r="A3" s="1">
        <f t="shared" ref="A3:A66" si="4">A2+1000000</f>
        <v>1000000</v>
      </c>
      <c r="B3">
        <f t="shared" si="0"/>
        <v>8415.882287713448</v>
      </c>
      <c r="C3" s="1">
        <f t="shared" si="1"/>
        <v>43282.613158764914</v>
      </c>
      <c r="D3" s="1">
        <f t="shared" si="2"/>
        <v>-416224.99721847894</v>
      </c>
      <c r="E3" s="1">
        <f t="shared" si="3"/>
        <v>-1170766.9344914923</v>
      </c>
      <c r="F3" s="1">
        <f t="shared" ref="F3:F34" si="5">F2+(F2*$M$9-E3)/D3*(A3-A2)</f>
        <v>-2812822.2531453343</v>
      </c>
      <c r="L3" t="s">
        <v>2</v>
      </c>
      <c r="M3">
        <v>0.157</v>
      </c>
    </row>
    <row r="4" spans="1:13" x14ac:dyDescent="0.35">
      <c r="A4" s="1">
        <f t="shared" si="4"/>
        <v>2000000</v>
      </c>
      <c r="B4">
        <f t="shared" si="0"/>
        <v>14533.542835778277</v>
      </c>
      <c r="C4" s="1">
        <f t="shared" si="1"/>
        <v>116525.06427405264</v>
      </c>
      <c r="D4" s="1">
        <f t="shared" si="2"/>
        <v>-839013.99747599848</v>
      </c>
      <c r="E4" s="1">
        <f t="shared" si="3"/>
        <v>-1909014.3803341342</v>
      </c>
      <c r="F4" s="1">
        <f t="shared" si="5"/>
        <v>-5021078.5406981874</v>
      </c>
      <c r="L4" t="s">
        <v>3</v>
      </c>
      <c r="M4">
        <v>0.78820000000000001</v>
      </c>
    </row>
    <row r="5" spans="1:13" x14ac:dyDescent="0.35">
      <c r="A5" s="1">
        <f t="shared" si="4"/>
        <v>3000000</v>
      </c>
      <c r="B5">
        <f t="shared" si="0"/>
        <v>20006.293020758894</v>
      </c>
      <c r="C5" s="1">
        <f t="shared" si="1"/>
        <v>207976.92902153821</v>
      </c>
      <c r="D5" s="1">
        <f t="shared" si="2"/>
        <v>-1256795.6718928693</v>
      </c>
      <c r="E5" s="1">
        <f t="shared" si="3"/>
        <v>-2499425.1238179575</v>
      </c>
      <c r="F5" s="1">
        <f t="shared" si="5"/>
        <v>-6929903.9819816034</v>
      </c>
      <c r="L5" t="s">
        <v>4</v>
      </c>
      <c r="M5">
        <v>2.7</v>
      </c>
    </row>
    <row r="6" spans="1:13" x14ac:dyDescent="0.35">
      <c r="A6" s="1">
        <f t="shared" si="4"/>
        <v>4000000</v>
      </c>
      <c r="B6">
        <f t="shared" si="0"/>
        <v>25098.24402698371</v>
      </c>
      <c r="C6" s="1">
        <f t="shared" si="1"/>
        <v>313707.73650533363</v>
      </c>
      <c r="D6" s="1">
        <f t="shared" si="2"/>
        <v>-1665818.6450178372</v>
      </c>
      <c r="E6" s="1">
        <f t="shared" si="3"/>
        <v>-2993020.4475641069</v>
      </c>
      <c r="F6" s="1">
        <f t="shared" si="5"/>
        <v>-8643429.2666586228</v>
      </c>
      <c r="L6" t="s">
        <v>5</v>
      </c>
      <c r="M6">
        <v>153</v>
      </c>
    </row>
    <row r="7" spans="1:13" x14ac:dyDescent="0.35">
      <c r="A7" s="1">
        <f t="shared" si="4"/>
        <v>5000000</v>
      </c>
      <c r="B7">
        <f t="shared" si="0"/>
        <v>29924.562508914794</v>
      </c>
      <c r="C7" s="1">
        <f t="shared" si="1"/>
        <v>431507.54624376749</v>
      </c>
      <c r="D7" s="1">
        <f t="shared" si="2"/>
        <v>-2064052.0718138672</v>
      </c>
      <c r="E7" s="1">
        <f t="shared" si="3"/>
        <v>-3413387.6890057912</v>
      </c>
      <c r="F7" s="1">
        <f t="shared" si="5"/>
        <v>-10213408.603868311</v>
      </c>
      <c r="L7" t="s">
        <v>6</v>
      </c>
      <c r="M7" s="1">
        <v>3.1700000000000001E-4</v>
      </c>
    </row>
    <row r="8" spans="1:13" x14ac:dyDescent="0.35">
      <c r="A8" s="1">
        <f t="shared" si="4"/>
        <v>6000000</v>
      </c>
      <c r="B8">
        <f t="shared" si="0"/>
        <v>34549.237579858069</v>
      </c>
      <c r="C8" s="1">
        <f t="shared" si="1"/>
        <v>559913.62935643934</v>
      </c>
      <c r="D8" s="1">
        <f t="shared" si="2"/>
        <v>-2450212.3188451924</v>
      </c>
      <c r="E8" s="1">
        <f t="shared" si="3"/>
        <v>-3774266.5504558985</v>
      </c>
      <c r="F8" s="1">
        <f t="shared" si="5"/>
        <v>-11670424.533027098</v>
      </c>
      <c r="L8" t="s">
        <v>7</v>
      </c>
      <c r="M8">
        <v>0.54400000000000004</v>
      </c>
    </row>
    <row r="9" spans="1:13" x14ac:dyDescent="0.35">
      <c r="A9" s="1">
        <f t="shared" si="4"/>
        <v>7000000</v>
      </c>
      <c r="B9">
        <f t="shared" si="0"/>
        <v>39012.69276357851</v>
      </c>
      <c r="C9" s="1">
        <f t="shared" si="1"/>
        <v>697868.06773188815</v>
      </c>
      <c r="D9" s="1">
        <f t="shared" si="2"/>
        <v>-2823420.5634449879</v>
      </c>
      <c r="E9" s="1">
        <f t="shared" si="3"/>
        <v>-4084698.2099514143</v>
      </c>
      <c r="F9" s="1">
        <f t="shared" si="5"/>
        <v>-13034475.560052181</v>
      </c>
      <c r="L9" t="s">
        <v>14</v>
      </c>
      <c r="M9">
        <v>0.02</v>
      </c>
    </row>
    <row r="10" spans="1:13" x14ac:dyDescent="0.35">
      <c r="A10" s="1">
        <f t="shared" si="4"/>
        <v>8000000</v>
      </c>
      <c r="B10">
        <f t="shared" si="0"/>
        <v>43342.621985280784</v>
      </c>
      <c r="C10" s="1">
        <f t="shared" si="1"/>
        <v>844561.16421309684</v>
      </c>
      <c r="D10" s="1">
        <f t="shared" si="2"/>
        <v>-3183046.2039008709</v>
      </c>
      <c r="E10" s="1">
        <f t="shared" si="3"/>
        <v>-4351106.0203725975</v>
      </c>
      <c r="F10" s="1">
        <f t="shared" si="5"/>
        <v>-14319539.064364083</v>
      </c>
      <c r="L10" t="s">
        <v>15</v>
      </c>
      <c r="M10" s="1">
        <f>M2/10</f>
        <v>35900000</v>
      </c>
    </row>
    <row r="11" spans="1:13" x14ac:dyDescent="0.35">
      <c r="A11" s="1">
        <f t="shared" si="4"/>
        <v>9000000</v>
      </c>
      <c r="B11">
        <f t="shared" si="0"/>
        <v>47559.096806380316</v>
      </c>
      <c r="C11" s="1">
        <f t="shared" si="1"/>
        <v>999348.23358674056</v>
      </c>
      <c r="D11" s="1">
        <f t="shared" si="2"/>
        <v>-3528623.6504441518</v>
      </c>
      <c r="E11" s="1">
        <f t="shared" si="3"/>
        <v>-4578301.5806919876</v>
      </c>
      <c r="F11" s="1">
        <f t="shared" si="5"/>
        <v>-15535852.059053805</v>
      </c>
    </row>
    <row r="12" spans="1:13" x14ac:dyDescent="0.35">
      <c r="A12" s="1">
        <f t="shared" si="4"/>
        <v>10000000</v>
      </c>
      <c r="B12">
        <f t="shared" si="0"/>
        <v>51677.280669689666</v>
      </c>
      <c r="C12" s="1">
        <f t="shared" si="1"/>
        <v>1161700.7590636099</v>
      </c>
      <c r="D12" s="1">
        <f t="shared" si="2"/>
        <v>-3859803.4817302558</v>
      </c>
      <c r="E12" s="1">
        <f t="shared" si="3"/>
        <v>-4770031.8929907717</v>
      </c>
      <c r="F12" s="1">
        <f t="shared" si="5"/>
        <v>-16691173.793156883</v>
      </c>
    </row>
    <row r="13" spans="1:13" x14ac:dyDescent="0.35">
      <c r="A13" s="1">
        <f t="shared" si="4"/>
        <v>11000000</v>
      </c>
      <c r="B13">
        <f t="shared" si="0"/>
        <v>55709.00052468176</v>
      </c>
      <c r="C13" s="1">
        <f t="shared" si="1"/>
        <v>1331175.5950796378</v>
      </c>
      <c r="D13" s="1">
        <f t="shared" si="2"/>
        <v>-4176321.6476397514</v>
      </c>
      <c r="E13" s="1">
        <f t="shared" si="3"/>
        <v>-4929302.973561286</v>
      </c>
      <c r="F13" s="1">
        <f t="shared" si="5"/>
        <v>-17791539.111114442</v>
      </c>
    </row>
    <row r="14" spans="1:13" x14ac:dyDescent="0.35">
      <c r="A14" s="1">
        <f t="shared" si="4"/>
        <v>12000000</v>
      </c>
      <c r="B14">
        <f t="shared" si="0"/>
        <v>59663.717616798087</v>
      </c>
      <c r="C14" s="1">
        <f t="shared" si="1"/>
        <v>1507394.4682904396</v>
      </c>
      <c r="D14" s="1">
        <f t="shared" si="2"/>
        <v>-4477978.9702728884</v>
      </c>
      <c r="E14" s="1">
        <f t="shared" si="3"/>
        <v>-5058583.7309859209</v>
      </c>
      <c r="F14" s="1">
        <f t="shared" si="5"/>
        <v>-18841734.518458448</v>
      </c>
    </row>
    <row r="15" spans="1:13" x14ac:dyDescent="0.35">
      <c r="A15" s="1">
        <f t="shared" si="4"/>
        <v>13000000</v>
      </c>
      <c r="B15">
        <f t="shared" si="0"/>
        <v>63549.158291365435</v>
      </c>
      <c r="C15" s="1">
        <f t="shared" si="1"/>
        <v>1690029.7403526586</v>
      </c>
      <c r="D15" s="1">
        <f t="shared" si="2"/>
        <v>-4764626.9067309462</v>
      </c>
      <c r="E15" s="1">
        <f t="shared" si="3"/>
        <v>-5159940.9196267342</v>
      </c>
      <c r="F15" s="1">
        <f t="shared" si="5"/>
        <v>-19845612.959076855</v>
      </c>
    </row>
    <row r="16" spans="1:13" x14ac:dyDescent="0.35">
      <c r="A16" s="1">
        <f t="shared" si="4"/>
        <v>14000000</v>
      </c>
      <c r="B16">
        <f t="shared" si="0"/>
        <v>67371.740957723683</v>
      </c>
      <c r="C16" s="1">
        <f t="shared" si="1"/>
        <v>1878794.1742098748</v>
      </c>
      <c r="D16" s="1">
        <f t="shared" si="2"/>
        <v>-5036157.315402138</v>
      </c>
      <c r="E16" s="1">
        <f t="shared" si="3"/>
        <v>-5235132.0961650619</v>
      </c>
      <c r="F16" s="1">
        <f t="shared" si="5"/>
        <v>-20806309.683578838</v>
      </c>
    </row>
    <row r="17" spans="1:6" x14ac:dyDescent="0.35">
      <c r="A17" s="1">
        <f t="shared" si="4"/>
        <v>15000000</v>
      </c>
      <c r="B17">
        <f t="shared" si="0"/>
        <v>71136.874970957258</v>
      </c>
      <c r="C17" s="1">
        <f t="shared" si="1"/>
        <v>2073433.3666086595</v>
      </c>
      <c r="D17" s="1">
        <f t="shared" si="2"/>
        <v>-5292494.88847767</v>
      </c>
      <c r="E17" s="1">
        <f t="shared" si="3"/>
        <v>-5285671.7807130795</v>
      </c>
      <c r="F17" s="1">
        <f t="shared" si="5"/>
        <v>-21726394.764368057</v>
      </c>
    </row>
    <row r="18" spans="1:6" x14ac:dyDescent="0.35">
      <c r="A18" s="1">
        <f t="shared" si="4"/>
        <v>16000000</v>
      </c>
      <c r="B18">
        <f t="shared" si="0"/>
        <v>74849.175844303536</v>
      </c>
      <c r="C18" s="1">
        <f t="shared" si="1"/>
        <v>2273720.0173730929</v>
      </c>
      <c r="D18" s="1">
        <f t="shared" si="2"/>
        <v>-5533591.4212262603</v>
      </c>
      <c r="E18" s="1">
        <f t="shared" si="3"/>
        <v>-5312879.8572710892</v>
      </c>
      <c r="F18" s="1">
        <f t="shared" si="5"/>
        <v>-22607983.517609015</v>
      </c>
    </row>
    <row r="19" spans="1:6" x14ac:dyDescent="0.35">
      <c r="A19" s="1">
        <f t="shared" si="4"/>
        <v>17000000</v>
      </c>
      <c r="B19">
        <f t="shared" si="0"/>
        <v>78512.623985160186</v>
      </c>
      <c r="C19" s="1">
        <f t="shared" si="1"/>
        <v>2479449.5006687641</v>
      </c>
      <c r="D19" s="1">
        <f t="shared" si="2"/>
        <v>-5759421.3832581304</v>
      </c>
      <c r="E19" s="1">
        <f t="shared" si="3"/>
        <v>-5317917.8179238457</v>
      </c>
      <c r="F19" s="1">
        <f t="shared" si="5"/>
        <v>-23452818.063265942</v>
      </c>
    </row>
    <row r="20" spans="1:6" x14ac:dyDescent="0.35">
      <c r="A20" s="1">
        <f t="shared" si="4"/>
        <v>18000000</v>
      </c>
      <c r="B20">
        <f t="shared" si="0"/>
        <v>82130.684227316044</v>
      </c>
      <c r="C20" s="1">
        <f t="shared" si="1"/>
        <v>2690436.3820111603</v>
      </c>
      <c r="D20" s="1">
        <f t="shared" si="2"/>
        <v>-5969978.4355334025</v>
      </c>
      <c r="E20" s="1">
        <f t="shared" si="3"/>
        <v>-5301816.4553492209</v>
      </c>
      <c r="F20" s="1">
        <f t="shared" si="5"/>
        <v>-24262328.540777761</v>
      </c>
    </row>
    <row r="21" spans="1:6" x14ac:dyDescent="0.35">
      <c r="A21" s="1">
        <f t="shared" si="4"/>
        <v>19000000</v>
      </c>
      <c r="B21">
        <f t="shared" si="0"/>
        <v>85706.397482108063</v>
      </c>
      <c r="C21" s="1">
        <f t="shared" si="1"/>
        <v>2906511.6369340466</v>
      </c>
      <c r="D21" s="1">
        <f t="shared" si="2"/>
        <v>-6165272.6490304768</v>
      </c>
      <c r="E21" s="1">
        <f t="shared" si="3"/>
        <v>-5265497.3950406061</v>
      </c>
      <c r="F21" s="1">
        <f t="shared" si="5"/>
        <v>-25037679.62358458</v>
      </c>
    </row>
    <row r="22" spans="1:6" x14ac:dyDescent="0.35">
      <c r="A22" s="1">
        <f t="shared" si="4"/>
        <v>20000000</v>
      </c>
      <c r="B22">
        <f t="shared" si="0"/>
        <v>89242.452136712047</v>
      </c>
      <c r="C22" s="1">
        <f t="shared" si="1"/>
        <v>3127520.3999481788</v>
      </c>
      <c r="D22" s="1">
        <f t="shared" si="2"/>
        <v>-6345328.2537047444</v>
      </c>
      <c r="E22" s="1">
        <f t="shared" si="3"/>
        <v>-5209790.0970568601</v>
      </c>
      <c r="F22" s="1">
        <f t="shared" si="5"/>
        <v>-25779806.163978416</v>
      </c>
    </row>
    <row r="23" spans="1:6" x14ac:dyDescent="0.35">
      <c r="A23" s="1">
        <f t="shared" si="4"/>
        <v>21000000</v>
      </c>
      <c r="B23">
        <f t="shared" si="0"/>
        <v>92741.240463458045</v>
      </c>
      <c r="C23" s="1">
        <f t="shared" si="1"/>
        <v>3353320.1208689315</v>
      </c>
      <c r="D23" s="1">
        <f t="shared" si="2"/>
        <v>-6510181.7948162165</v>
      </c>
      <c r="E23" s="1">
        <f t="shared" si="3"/>
        <v>-5135445.4645629656</v>
      </c>
      <c r="F23" s="1">
        <f t="shared" si="5"/>
        <v>-26489440.623796728</v>
      </c>
    </row>
    <row r="24" spans="1:6" x14ac:dyDescent="0.35">
      <c r="A24" s="1">
        <f t="shared" si="4"/>
        <v>22000000</v>
      </c>
      <c r="B24">
        <f t="shared" si="0"/>
        <v>96204.903750362791</v>
      </c>
      <c r="C24" s="1">
        <f t="shared" si="1"/>
        <v>3583779.0386575479</v>
      </c>
      <c r="D24" s="1">
        <f t="shared" si="2"/>
        <v>-6659880.6067707688</v>
      </c>
      <c r="E24" s="1">
        <f t="shared" si="3"/>
        <v>-5043146.8694301266</v>
      </c>
      <c r="F24" s="1">
        <f t="shared" si="5"/>
        <v>-27167134.162681747</v>
      </c>
    </row>
    <row r="25" spans="1:6" x14ac:dyDescent="0.35">
      <c r="A25" s="1">
        <f t="shared" si="4"/>
        <v>23000000</v>
      </c>
      <c r="B25">
        <f t="shared" si="0"/>
        <v>99635.368817796931</v>
      </c>
      <c r="C25" s="1">
        <f t="shared" si="1"/>
        <v>3818774.905974166</v>
      </c>
      <c r="D25" s="1">
        <f t="shared" si="2"/>
        <v>-6794481.5376731753</v>
      </c>
      <c r="E25" s="1">
        <f t="shared" si="3"/>
        <v>-4933519.1829926819</v>
      </c>
      <c r="F25" s="1">
        <f t="shared" si="5"/>
        <v>-27813272.720185649</v>
      </c>
    </row>
    <row r="26" spans="1:6" x14ac:dyDescent="0.35">
      <c r="A26" s="1">
        <f t="shared" si="4"/>
        <v>24000000</v>
      </c>
      <c r="B26">
        <f t="shared" si="0"/>
        <v>103034.37786807565</v>
      </c>
      <c r="C26" s="1">
        <f t="shared" si="1"/>
        <v>4058193.9140226105</v>
      </c>
      <c r="D26" s="1">
        <f t="shared" si="2"/>
        <v>-6914049.8741718959</v>
      </c>
      <c r="E26" s="1">
        <f t="shared" si="3"/>
        <v>-4807136.2459545266</v>
      </c>
      <c r="F26" s="1">
        <f t="shared" si="5"/>
        <v>-28428089.053436346</v>
      </c>
    </row>
    <row r="27" spans="1:6" x14ac:dyDescent="0.35">
      <c r="A27" s="1">
        <f t="shared" si="4"/>
        <v>25000000</v>
      </c>
      <c r="B27">
        <f t="shared" si="0"/>
        <v>106403.51311202167</v>
      </c>
      <c r="C27" s="1">
        <f t="shared" si="1"/>
        <v>4301929.7791083353</v>
      </c>
      <c r="D27" s="1">
        <f t="shared" si="2"/>
        <v>-7018658.4280170184</v>
      </c>
      <c r="E27" s="1">
        <f t="shared" si="3"/>
        <v>-4664527.1025468092</v>
      </c>
      <c r="F27" s="1">
        <f t="shared" si="5"/>
        <v>-29011671.423697855</v>
      </c>
    </row>
    <row r="28" spans="1:6" x14ac:dyDescent="0.35">
      <c r="A28" s="1">
        <f t="shared" si="4"/>
        <v>26000000</v>
      </c>
      <c r="B28">
        <f t="shared" si="0"/>
        <v>109744.21725855094</v>
      </c>
      <c r="C28" s="1">
        <f t="shared" si="1"/>
        <v>4549882.9610239239</v>
      </c>
      <c r="D28" s="1">
        <f t="shared" si="2"/>
        <v>-7108386.7544457633</v>
      </c>
      <c r="E28" s="1">
        <f t="shared" si="3"/>
        <v>-4506181.2457936965</v>
      </c>
      <c r="F28" s="1">
        <f t="shared" si="5"/>
        <v>-29563969.427863758</v>
      </c>
    </row>
    <row r="29" spans="1:6" x14ac:dyDescent="0.35">
      <c r="A29" s="1">
        <f t="shared" si="4"/>
        <v>27000000</v>
      </c>
      <c r="B29">
        <f t="shared" si="0"/>
        <v>113057.81069445016</v>
      </c>
      <c r="C29" s="1">
        <f t="shared" si="1"/>
        <v>4801959.9898482673</v>
      </c>
      <c r="D29" s="1">
        <f t="shared" si="2"/>
        <v>-7183320.4789816542</v>
      </c>
      <c r="E29" s="1">
        <f t="shared" si="3"/>
        <v>-4332553.0636605527</v>
      </c>
      <c r="F29" s="1">
        <f t="shared" si="5"/>
        <v>-30084797.321600396</v>
      </c>
    </row>
    <row r="30" spans="1:6" x14ac:dyDescent="0.35">
      <c r="A30" s="1">
        <f t="shared" si="4"/>
        <v>28000000</v>
      </c>
      <c r="B30">
        <f t="shared" si="0"/>
        <v>116345.50599163224</v>
      </c>
      <c r="C30" s="1">
        <f t="shared" si="1"/>
        <v>5058072.8826255742</v>
      </c>
      <c r="D30" s="1">
        <f t="shared" si="2"/>
        <v>-7243550.7141135354</v>
      </c>
      <c r="E30" s="1">
        <f t="shared" si="3"/>
        <v>-4144065.6336306799</v>
      </c>
      <c r="F30" s="1">
        <f t="shared" si="5"/>
        <v>-30573835.063863542</v>
      </c>
    </row>
    <row r="31" spans="1:6" x14ac:dyDescent="0.35">
      <c r="A31" s="1">
        <f t="shared" si="4"/>
        <v>29000000</v>
      </c>
      <c r="B31">
        <f t="shared" si="0"/>
        <v>119608.42023808623</v>
      </c>
      <c r="C31" s="1">
        <f t="shared" si="1"/>
        <v>5318138.6351136276</v>
      </c>
      <c r="D31" s="1">
        <f t="shared" si="2"/>
        <v>-7289173.5510438271</v>
      </c>
      <c r="E31" s="1">
        <f t="shared" si="3"/>
        <v>-3941113.9816203993</v>
      </c>
      <c r="F31" s="1">
        <f t="shared" si="5"/>
        <v>-31030627.21691446</v>
      </c>
    </row>
    <row r="32" spans="1:6" x14ac:dyDescent="0.35">
      <c r="A32" s="1">
        <f t="shared" si="4"/>
        <v>30000000</v>
      </c>
      <c r="B32">
        <f t="shared" si="0"/>
        <v>122847.58558270025</v>
      </c>
      <c r="C32" s="1">
        <f t="shared" si="1"/>
        <v>5582078.776662604</v>
      </c>
      <c r="D32" s="1">
        <f t="shared" si="2"/>
        <v>-7320289.6145673376</v>
      </c>
      <c r="E32" s="1">
        <f t="shared" si="3"/>
        <v>-3724067.8971641082</v>
      </c>
      <c r="F32" s="1">
        <f t="shared" si="5"/>
        <v>-31454579.753799062</v>
      </c>
    </row>
    <row r="33" spans="1:6" x14ac:dyDescent="0.35">
      <c r="A33" s="1">
        <f t="shared" si="4"/>
        <v>31000000</v>
      </c>
      <c r="B33">
        <f t="shared" si="0"/>
        <v>126063.95830349851</v>
      </c>
      <c r="C33" s="1">
        <f t="shared" si="1"/>
        <v>5849818.978522121</v>
      </c>
      <c r="D33" s="1">
        <f t="shared" si="2"/>
        <v>-7337003.6713783219</v>
      </c>
      <c r="E33" s="1">
        <f t="shared" si="3"/>
        <v>-3493274.3784255441</v>
      </c>
      <c r="F33" s="1">
        <f t="shared" si="5"/>
        <v>-31844954.75041011</v>
      </c>
    </row>
    <row r="34" spans="1:6" x14ac:dyDescent="0.35">
      <c r="A34" s="1">
        <f t="shared" si="4"/>
        <v>32000000</v>
      </c>
      <c r="B34">
        <f t="shared" si="0"/>
        <v>129258.4266469635</v>
      </c>
      <c r="C34" s="1">
        <f t="shared" si="1"/>
        <v>6121288.7076331163</v>
      </c>
      <c r="D34" s="1">
        <f t="shared" si="2"/>
        <v>-7339424.2838623514</v>
      </c>
      <c r="E34" s="1">
        <f t="shared" si="3"/>
        <v>-3249059.7663759999</v>
      </c>
      <c r="F34" s="1">
        <f t="shared" si="5"/>
        <v>-32200862.866679028</v>
      </c>
    </row>
    <row r="35" spans="1:6" x14ac:dyDescent="0.35">
      <c r="A35" s="1">
        <f t="shared" si="4"/>
        <v>33000000</v>
      </c>
      <c r="B35">
        <f t="shared" si="0"/>
        <v>132431.81763812483</v>
      </c>
      <c r="C35" s="1">
        <f t="shared" si="1"/>
        <v>6396420.9193551792</v>
      </c>
      <c r="D35" s="1">
        <f t="shared" si="2"/>
        <v>-7327663.5028236499</v>
      </c>
      <c r="E35" s="1">
        <f t="shared" si="3"/>
        <v>-2991731.6163741127</v>
      </c>
      <c r="F35" s="1">
        <f t="shared" ref="F35:F66" si="6">F34+(F34*$M$9-E35)/D35*(A35-A34)</f>
        <v>-32521253.446587052</v>
      </c>
    </row>
    <row r="36" spans="1:6" x14ac:dyDescent="0.35">
      <c r="A36" s="1">
        <f t="shared" si="4"/>
        <v>34000000</v>
      </c>
      <c r="B36">
        <f t="shared" si="0"/>
        <v>135584.90302360235</v>
      </c>
      <c r="C36" s="1">
        <f t="shared" si="1"/>
        <v>6675151.7836946696</v>
      </c>
      <c r="D36" s="1">
        <f t="shared" si="2"/>
        <v>-7301836.5937132137</v>
      </c>
      <c r="E36" s="1">
        <f t="shared" si="3"/>
        <v>-2721580.3466355503</v>
      </c>
      <c r="F36" s="1">
        <f t="shared" si="6"/>
        <v>-32804901.985022854</v>
      </c>
    </row>
    <row r="37" spans="1:6" x14ac:dyDescent="0.35">
      <c r="A37" s="1">
        <f t="shared" si="4"/>
        <v>35000000</v>
      </c>
      <c r="B37">
        <f t="shared" si="0"/>
        <v>138718.40448020093</v>
      </c>
      <c r="C37" s="1">
        <f t="shared" si="1"/>
        <v>6957420.4404958664</v>
      </c>
      <c r="D37" s="1">
        <f t="shared" si="2"/>
        <v>-7262061.7918199552</v>
      </c>
      <c r="E37" s="1">
        <f t="shared" si="3"/>
        <v>-2438880.6961319</v>
      </c>
      <c r="F37" s="1">
        <f t="shared" si="6"/>
        <v>-33050394.616115525</v>
      </c>
    </row>
    <row r="38" spans="1:6" x14ac:dyDescent="0.35">
      <c r="A38" s="1">
        <f t="shared" si="4"/>
        <v>36000000</v>
      </c>
      <c r="B38">
        <f t="shared" si="0"/>
        <v>141832.99819819408</v>
      </c>
      <c r="C38" s="1">
        <f t="shared" si="1"/>
        <v>7243168.7797855167</v>
      </c>
      <c r="D38" s="1">
        <f t="shared" si="2"/>
        <v>-7208460.0826152591</v>
      </c>
      <c r="E38" s="1">
        <f t="shared" si="3"/>
        <v>-2143893.0189027973</v>
      </c>
      <c r="F38" s="1">
        <f t="shared" si="6"/>
        <v>-33256109.166738726</v>
      </c>
    </row>
    <row r="39" spans="1:6" x14ac:dyDescent="0.35">
      <c r="A39" s="1">
        <f t="shared" si="4"/>
        <v>37000000</v>
      </c>
      <c r="B39">
        <f t="shared" si="0"/>
        <v>144929.31892962049</v>
      </c>
      <c r="C39" s="1">
        <f t="shared" si="1"/>
        <v>7532341.2440545596</v>
      </c>
      <c r="D39" s="1">
        <f t="shared" si="2"/>
        <v>-7141155.0040346961</v>
      </c>
      <c r="E39" s="1">
        <f t="shared" si="3"/>
        <v>-1836864.4372846261</v>
      </c>
      <c r="F39" s="1">
        <f t="shared" si="6"/>
        <v>-33420192.183181841</v>
      </c>
    </row>
    <row r="40" spans="1:6" x14ac:dyDescent="0.35">
      <c r="A40" s="1">
        <f t="shared" si="4"/>
        <v>38000000</v>
      </c>
      <c r="B40">
        <f t="shared" si="0"/>
        <v>148007.96357679128</v>
      </c>
      <c r="C40" s="1">
        <f t="shared" si="1"/>
        <v>7824884.649748493</v>
      </c>
      <c r="D40" s="1">
        <f t="shared" si="2"/>
        <v>-7060272.4679684015</v>
      </c>
      <c r="E40" s="1">
        <f t="shared" si="3"/>
        <v>-1518029.8729281351</v>
      </c>
      <c r="F40" s="1">
        <f t="shared" si="6"/>
        <v>-33540531.169123128</v>
      </c>
    </row>
    <row r="41" spans="1:6" x14ac:dyDescent="0.35">
      <c r="A41" s="1">
        <f t="shared" si="4"/>
        <v>39000000</v>
      </c>
      <c r="B41">
        <f t="shared" si="0"/>
        <v>151069.49438394234</v>
      </c>
      <c r="C41" s="1">
        <f t="shared" si="1"/>
        <v>8120748.0256407801</v>
      </c>
      <c r="D41" s="1">
        <f t="shared" si="2"/>
        <v>-6965940.5986344721</v>
      </c>
      <c r="E41" s="1">
        <f t="shared" si="3"/>
        <v>-1187612.9715130702</v>
      </c>
      <c r="F41" s="1">
        <f t="shared" si="6"/>
        <v>-33614721.056448884</v>
      </c>
    </row>
    <row r="42" spans="1:6" x14ac:dyDescent="0.35">
      <c r="A42" s="1">
        <f t="shared" si="4"/>
        <v>40000000</v>
      </c>
      <c r="B42">
        <f t="shared" si="0"/>
        <v>154114.44178494919</v>
      </c>
      <c r="C42" s="1">
        <f t="shared" si="1"/>
        <v>8419882.4660976697</v>
      </c>
      <c r="D42" s="1">
        <f t="shared" si="2"/>
        <v>-6858289.5858437913</v>
      </c>
      <c r="E42" s="1">
        <f t="shared" si="3"/>
        <v>-845826.93463351578</v>
      </c>
      <c r="F42" s="1">
        <f t="shared" si="6"/>
        <v>-33640023.649950147</v>
      </c>
    </row>
    <row r="43" spans="1:6" x14ac:dyDescent="0.35">
      <c r="A43" s="1">
        <f t="shared" si="4"/>
        <v>41000000</v>
      </c>
      <c r="B43">
        <f t="shared" si="0"/>
        <v>157143.30695183369</v>
      </c>
      <c r="C43" s="1">
        <f t="shared" si="1"/>
        <v>8722240.9975223467</v>
      </c>
      <c r="D43" s="1">
        <f t="shared" si="2"/>
        <v>-6737451.5514441803</v>
      </c>
      <c r="E43" s="1">
        <f t="shared" si="3"/>
        <v>-492875.27032021433</v>
      </c>
      <c r="F43" s="1">
        <f t="shared" si="6"/>
        <v>-33613318.418557391</v>
      </c>
    </row>
    <row r="44" spans="1:6" x14ac:dyDescent="0.35">
      <c r="A44" s="1">
        <f t="shared" si="4"/>
        <v>42000000</v>
      </c>
      <c r="B44">
        <f t="shared" si="0"/>
        <v>160156.56408201615</v>
      </c>
      <c r="C44" s="1">
        <f t="shared" si="1"/>
        <v>9027778.4565001298</v>
      </c>
      <c r="D44" s="1">
        <f t="shared" si="2"/>
        <v>-6603560.4274655925</v>
      </c>
      <c r="E44" s="1">
        <f t="shared" si="3"/>
        <v>-128952.47199812159</v>
      </c>
      <c r="F44" s="1">
        <f t="shared" si="6"/>
        <v>-33531042.515680321</v>
      </c>
    </row>
    <row r="45" spans="1:6" x14ac:dyDescent="0.35">
      <c r="A45" s="1">
        <f t="shared" si="4"/>
        <v>43000000</v>
      </c>
      <c r="B45">
        <f t="shared" si="0"/>
        <v>163154.66245667322</v>
      </c>
      <c r="C45" s="1">
        <f t="shared" si="1"/>
        <v>9336451.3783637956</v>
      </c>
      <c r="D45" s="1">
        <f t="shared" si="2"/>
        <v>-6456751.8446854427</v>
      </c>
      <c r="E45" s="1">
        <f t="shared" si="3"/>
        <v>245755.36571124569</v>
      </c>
      <c r="F45" s="1">
        <f t="shared" si="6"/>
        <v>-33389117.250768811</v>
      </c>
    </row>
    <row r="46" spans="1:6" x14ac:dyDescent="0.35">
      <c r="A46" s="1">
        <f t="shared" si="4"/>
        <v>44000000</v>
      </c>
      <c r="B46">
        <f t="shared" si="0"/>
        <v>166138.02829788742</v>
      </c>
      <c r="C46" s="1">
        <f t="shared" si="1"/>
        <v>9648217.8950650506</v>
      </c>
      <c r="D46" s="1">
        <f t="shared" si="2"/>
        <v>-6297163.0305000655</v>
      </c>
      <c r="E46" s="1">
        <f t="shared" si="3"/>
        <v>631069.98709886149</v>
      </c>
      <c r="F46" s="1">
        <f t="shared" si="6"/>
        <v>-33182857.332481273</v>
      </c>
    </row>
    <row r="47" spans="1:6" x14ac:dyDescent="0.35">
      <c r="A47" s="1">
        <f t="shared" si="4"/>
        <v>45000000</v>
      </c>
      <c r="B47">
        <f t="shared" si="0"/>
        <v>169107.066448375</v>
      </c>
      <c r="C47" s="1">
        <f t="shared" si="1"/>
        <v>9963037.6413798593</v>
      </c>
      <c r="D47" s="1">
        <f t="shared" si="2"/>
        <v>-6124932.7151300628</v>
      </c>
      <c r="E47" s="1">
        <f t="shared" si="3"/>
        <v>1026820.4651242457</v>
      </c>
      <c r="F47" s="1">
        <f t="shared" si="6"/>
        <v>-32906857.955770083</v>
      </c>
    </row>
    <row r="48" spans="1:6" x14ac:dyDescent="0.35">
      <c r="A48" s="1">
        <f t="shared" si="4"/>
        <v>46000000</v>
      </c>
      <c r="B48">
        <f t="shared" si="0"/>
        <v>172062.16189431163</v>
      </c>
      <c r="C48" s="1">
        <f t="shared" si="1"/>
        <v>10280871.668596765</v>
      </c>
      <c r="D48" s="1">
        <f t="shared" si="2"/>
        <v>-5940201.0453086169</v>
      </c>
      <c r="E48" s="1">
        <f t="shared" si="3"/>
        <v>1432842.7353815883</v>
      </c>
      <c r="F48" s="1">
        <f t="shared" si="6"/>
        <v>-32554853.052476719</v>
      </c>
    </row>
    <row r="49" spans="1:6" x14ac:dyDescent="0.35">
      <c r="A49" s="1">
        <f t="shared" si="4"/>
        <v>47000000</v>
      </c>
      <c r="B49">
        <f t="shared" si="0"/>
        <v>175003.68114898627</v>
      </c>
      <c r="C49" s="1">
        <f t="shared" si="1"/>
        <v>10601682.364940288</v>
      </c>
      <c r="D49" s="1">
        <f t="shared" si="2"/>
        <v>-5743109.5047048768</v>
      </c>
      <c r="E49" s="1">
        <f t="shared" si="3"/>
        <v>1848979.169543881</v>
      </c>
      <c r="F49" s="1">
        <f t="shared" si="6"/>
        <v>-32119535.524829842</v>
      </c>
    </row>
    <row r="50" spans="1:6" x14ac:dyDescent="0.35">
      <c r="A50" s="1">
        <f t="shared" si="4"/>
        <v>48000000</v>
      </c>
      <c r="B50">
        <f t="shared" si="0"/>
        <v>177931.97351270178</v>
      </c>
      <c r="C50" s="1">
        <f t="shared" si="1"/>
        <v>10925433.382071439</v>
      </c>
      <c r="D50" s="1">
        <f t="shared" si="2"/>
        <v>-5533800.840424493</v>
      </c>
      <c r="E50" s="1">
        <f t="shared" si="3"/>
        <v>2275078.1841495149</v>
      </c>
      <c r="F50" s="1">
        <f t="shared" si="6"/>
        <v>-31592326.653608102</v>
      </c>
    </row>
    <row r="51" spans="1:6" x14ac:dyDescent="0.35">
      <c r="A51" s="1">
        <f t="shared" si="4"/>
        <v>49000000</v>
      </c>
      <c r="B51">
        <f t="shared" si="0"/>
        <v>180847.37222232317</v>
      </c>
      <c r="C51" s="1">
        <f t="shared" si="1"/>
        <v>11252089.56708326</v>
      </c>
      <c r="D51" s="1">
        <f t="shared" si="2"/>
        <v>-5312418.995005141</v>
      </c>
      <c r="E51" s="1">
        <f t="shared" si="3"/>
        <v>2710993.8811093606</v>
      </c>
      <c r="F51" s="1">
        <f t="shared" si="6"/>
        <v>-30963076.51025071</v>
      </c>
    </row>
    <row r="52" spans="1:6" x14ac:dyDescent="0.35">
      <c r="A52" s="1">
        <f t="shared" si="4"/>
        <v>50000000</v>
      </c>
      <c r="B52">
        <f t="shared" si="0"/>
        <v>183750.19550220165</v>
      </c>
      <c r="C52" s="1">
        <f t="shared" si="1"/>
        <v>11581616.899476608</v>
      </c>
      <c r="D52" s="1">
        <f t="shared" si="2"/>
        <v>-5079109.0433923127</v>
      </c>
      <c r="E52" s="1">
        <f t="shared" si="3"/>
        <v>3156585.7167499922</v>
      </c>
      <c r="F52" s="1">
        <f t="shared" si="6"/>
        <v>-30219669.110508583</v>
      </c>
    </row>
    <row r="53" spans="1:6" x14ac:dyDescent="0.35">
      <c r="A53" s="1">
        <f t="shared" si="4"/>
        <v>51000000</v>
      </c>
      <c r="B53">
        <f t="shared" si="0"/>
        <v>186640.74752672715</v>
      </c>
      <c r="C53" s="1">
        <f t="shared" si="1"/>
        <v>11913982.432658453</v>
      </c>
      <c r="D53" s="1">
        <f t="shared" si="2"/>
        <v>-4834017.1344376113</v>
      </c>
      <c r="E53" s="1">
        <f t="shared" si="3"/>
        <v>3611718.1965885684</v>
      </c>
      <c r="F53" s="1">
        <f t="shared" si="6"/>
        <v>-29347493.555158749</v>
      </c>
    </row>
    <row r="54" spans="1:6" x14ac:dyDescent="0.35">
      <c r="A54" s="1">
        <f t="shared" si="4"/>
        <v>52000000</v>
      </c>
      <c r="B54">
        <f t="shared" si="0"/>
        <v>189519.31930353207</v>
      </c>
      <c r="C54" s="1">
        <f t="shared" si="1"/>
        <v>12249154.239555588</v>
      </c>
      <c r="D54" s="1">
        <f t="shared" si="2"/>
        <v>-4577290.4365124721</v>
      </c>
      <c r="E54" s="1">
        <f t="shared" si="3"/>
        <v>4076260.5933596827</v>
      </c>
      <c r="F54" s="1">
        <f t="shared" si="6"/>
        <v>-28328722.618697081</v>
      </c>
    </row>
    <row r="55" spans="1:6" x14ac:dyDescent="0.35">
      <c r="A55" s="1">
        <f t="shared" si="4"/>
        <v>53000000</v>
      </c>
      <c r="B55">
        <f t="shared" si="0"/>
        <v>192386.18948528223</v>
      </c>
      <c r="C55" s="1">
        <f t="shared" si="1"/>
        <v>12587101.361980183</v>
      </c>
      <c r="D55" s="1">
        <f t="shared" si="2"/>
        <v>-4309077.0868736906</v>
      </c>
      <c r="E55" s="1">
        <f t="shared" si="3"/>
        <v>4550086.6860983148</v>
      </c>
      <c r="F55" s="1">
        <f t="shared" si="6"/>
        <v>-27141307.997116365</v>
      </c>
    </row>
    <row r="56" spans="1:6" x14ac:dyDescent="0.35">
      <c r="A56" s="1">
        <f t="shared" si="4"/>
        <v>54000000</v>
      </c>
      <c r="B56">
        <f t="shared" si="0"/>
        <v>195241.62511706611</v>
      </c>
      <c r="C56" s="1">
        <f t="shared" si="1"/>
        <v>12927793.763422253</v>
      </c>
      <c r="D56" s="1">
        <f t="shared" si="2"/>
        <v>-4029526.1444559209</v>
      </c>
      <c r="E56" s="1">
        <f t="shared" si="3"/>
        <v>5033074.5183289722</v>
      </c>
      <c r="F56" s="1">
        <f t="shared" si="6"/>
        <v>-25757547.108520821</v>
      </c>
    </row>
    <row r="57" spans="1:6" x14ac:dyDescent="0.35">
      <c r="A57" s="1">
        <f t="shared" si="4"/>
        <v>55000000</v>
      </c>
      <c r="B57">
        <f t="shared" si="0"/>
        <v>198085.88232558794</v>
      </c>
      <c r="C57" s="1">
        <f t="shared" si="1"/>
        <v>13271202.284977587</v>
      </c>
      <c r="D57" s="1">
        <f t="shared" si="2"/>
        <v>-3738787.5457995869</v>
      </c>
      <c r="E57" s="1">
        <f t="shared" si="3"/>
        <v>5525106.1736245342</v>
      </c>
      <c r="F57" s="1">
        <f t="shared" si="6"/>
        <v>-24141981.355772715</v>
      </c>
    </row>
    <row r="58" spans="1:6" x14ac:dyDescent="0.35">
      <c r="A58" s="1">
        <f t="shared" si="4"/>
        <v>56000000</v>
      </c>
      <c r="B58">
        <f t="shared" si="0"/>
        <v>200919.20695567314</v>
      </c>
      <c r="C58" s="1">
        <f t="shared" si="1"/>
        <v>13617298.604149396</v>
      </c>
      <c r="D58" s="1">
        <f t="shared" si="2"/>
        <v>-3437012.0638525318</v>
      </c>
      <c r="E58" s="1">
        <f t="shared" si="3"/>
        <v>6026067.5669853799</v>
      </c>
      <c r="F58" s="1">
        <f t="shared" si="6"/>
        <v>-22248212.269956641</v>
      </c>
    </row>
    <row r="59" spans="1:6" x14ac:dyDescent="0.35">
      <c r="A59" s="1">
        <f t="shared" si="4"/>
        <v>57000000</v>
      </c>
      <c r="B59">
        <f t="shared" si="0"/>
        <v>203741.83515897888</v>
      </c>
      <c r="C59" s="1">
        <f t="shared" si="1"/>
        <v>13966055.196288344</v>
      </c>
      <c r="D59" s="1">
        <f t="shared" si="2"/>
        <v>-3124351.2694100607</v>
      </c>
      <c r="E59" s="1">
        <f t="shared" si="3"/>
        <v>6535848.2506547607</v>
      </c>
      <c r="F59" s="1">
        <f t="shared" si="6"/>
        <v>-20013888.43947006</v>
      </c>
    </row>
    <row r="60" spans="1:6" x14ac:dyDescent="0.35">
      <c r="A60" s="1">
        <f t="shared" si="4"/>
        <v>58000000</v>
      </c>
      <c r="B60">
        <f t="shared" si="0"/>
        <v>206553.99393927227</v>
      </c>
      <c r="C60" s="1">
        <f t="shared" si="1"/>
        <v>14317445.29845807</v>
      </c>
      <c r="D60" s="1">
        <f t="shared" si="2"/>
        <v>-2800957.4949804433</v>
      </c>
      <c r="E60" s="1">
        <f t="shared" si="3"/>
        <v>7054341.2331281304</v>
      </c>
      <c r="F60" s="1">
        <f t="shared" si="6"/>
        <v>-17352434.627594352</v>
      </c>
    </row>
    <row r="61" spans="1:6" x14ac:dyDescent="0.35">
      <c r="A61" s="1">
        <f t="shared" si="4"/>
        <v>59000000</v>
      </c>
      <c r="B61">
        <f t="shared" si="0"/>
        <v>209355.90165817813</v>
      </c>
      <c r="C61" s="1">
        <f t="shared" si="1"/>
        <v>14671442.875534695</v>
      </c>
      <c r="D61" s="1">
        <f t="shared" si="2"/>
        <v>-2466983.800884435</v>
      </c>
      <c r="E61" s="1">
        <f t="shared" si="3"/>
        <v>7581442.8102424257</v>
      </c>
      <c r="F61" s="1">
        <f t="shared" si="6"/>
        <v>-14138594.51240921</v>
      </c>
    </row>
    <row r="62" spans="1:6" x14ac:dyDescent="0.35">
      <c r="A62" s="1">
        <f t="shared" si="4"/>
        <v>60000000</v>
      </c>
      <c r="B62">
        <f t="shared" si="0"/>
        <v>212147.76850487551</v>
      </c>
      <c r="C62" s="1">
        <f t="shared" si="1"/>
        <v>15028022.588366222</v>
      </c>
      <c r="D62" s="1">
        <f t="shared" si="2"/>
        <v>-2122583.9434146751</v>
      </c>
      <c r="E62" s="1">
        <f t="shared" si="3"/>
        <v>8117052.4073428512</v>
      </c>
      <c r="F62" s="1">
        <f t="shared" si="6"/>
        <v>-10181236.630921638</v>
      </c>
    </row>
    <row r="63" spans="1:6" x14ac:dyDescent="0.35">
      <c r="A63" s="1">
        <f t="shared" si="4"/>
        <v>61000000</v>
      </c>
      <c r="B63">
        <f t="shared" si="0"/>
        <v>214929.7969328764</v>
      </c>
      <c r="C63" s="1">
        <f t="shared" si="1"/>
        <v>15387159.76383445</v>
      </c>
      <c r="D63" s="1">
        <f t="shared" si="2"/>
        <v>-1767912.3448975999</v>
      </c>
      <c r="E63" s="1">
        <f t="shared" si="3"/>
        <v>8661072.4316229299</v>
      </c>
      <c r="F63" s="1">
        <f t="shared" si="6"/>
        <v>-5167019.0483441381</v>
      </c>
    </row>
    <row r="64" spans="1:6" x14ac:dyDescent="0.35">
      <c r="A64" s="1">
        <f t="shared" si="4"/>
        <v>62000000</v>
      </c>
      <c r="B64">
        <f t="shared" si="0"/>
        <v>217702.18206669483</v>
      </c>
      <c r="C64" s="1">
        <f t="shared" si="1"/>
        <v>15748830.366676396</v>
      </c>
      <c r="D64" s="1">
        <f t="shared" si="2"/>
        <v>-1403124.0655148607</v>
      </c>
      <c r="E64" s="1">
        <f t="shared" si="3"/>
        <v>9213408.1338219643</v>
      </c>
      <c r="F64" s="1">
        <f t="shared" si="6"/>
        <v>1472984.315414127</v>
      </c>
    </row>
    <row r="65" spans="1:7" x14ac:dyDescent="0.35">
      <c r="A65" s="1">
        <f t="shared" si="4"/>
        <v>63000000</v>
      </c>
      <c r="B65">
        <f t="shared" si="0"/>
        <v>220465.11208092378</v>
      </c>
      <c r="C65" s="1">
        <f t="shared" si="1"/>
        <v>16113010.972934421</v>
      </c>
      <c r="D65" s="1">
        <f t="shared" si="2"/>
        <v>-1028374.7767534517</v>
      </c>
      <c r="E65" s="1">
        <f t="shared" si="3"/>
        <v>9773967.4785416052</v>
      </c>
      <c r="F65" s="1">
        <f t="shared" si="6"/>
        <v>10948622.976055376</v>
      </c>
    </row>
    <row r="66" spans="1:7" x14ac:dyDescent="0.35">
      <c r="A66" s="1">
        <f t="shared" si="4"/>
        <v>64000000</v>
      </c>
      <c r="B66">
        <f t="shared" ref="B66:B129" si="7">$M$3*A66^$M$4</f>
        <v>223218.76855401529</v>
      </c>
      <c r="C66" s="1">
        <f t="shared" ref="C66:C129" si="8">$M$7*A66*B66^$M$8</f>
        <v>16479678.744917426</v>
      </c>
      <c r="D66" s="1">
        <f t="shared" ref="D66:D129" si="9">$M$1*A66*(A66/$M$10-1)*(1-A66/$M$2)-C66</f>
        <v>-643820.73636690341</v>
      </c>
      <c r="E66" s="1">
        <f t="shared" ref="E66:E129" si="10">$M$5*C66-$M$6*B66</f>
        <v>10342661.022512712</v>
      </c>
      <c r="F66" s="1">
        <f t="shared" si="6"/>
        <v>26673013.30886732</v>
      </c>
    </row>
    <row r="67" spans="1:7" x14ac:dyDescent="0.35">
      <c r="A67" s="1">
        <f t="shared" ref="A67:A130" si="11">A66+1000000</f>
        <v>65000000</v>
      </c>
      <c r="B67">
        <f t="shared" si="7"/>
        <v>225963.32679880664</v>
      </c>
      <c r="C67" s="1">
        <f t="shared" si="8"/>
        <v>16848811.40756375</v>
      </c>
      <c r="D67" s="1">
        <f t="shared" si="9"/>
        <v>-249618.76473819837</v>
      </c>
      <c r="E67" s="1">
        <f t="shared" si="10"/>
        <v>10919401.800204709</v>
      </c>
      <c r="F67" s="1">
        <f t="shared" ref="F67:F98" si="12">F66+(F66*$M$9-E67)/D67*(A67-A66)</f>
        <v>68280227.994510829</v>
      </c>
    </row>
    <row r="68" spans="1:7" x14ac:dyDescent="0.35">
      <c r="A68" s="1">
        <f t="shared" si="11"/>
        <v>66000000</v>
      </c>
      <c r="B68">
        <f t="shared" si="7"/>
        <v>228698.95617166479</v>
      </c>
      <c r="C68" s="1">
        <f t="shared" si="8"/>
        <v>17220387.226107746</v>
      </c>
      <c r="D68" s="1">
        <f t="shared" si="9"/>
        <v>154073.77745367959</v>
      </c>
      <c r="E68" s="1">
        <f t="shared" si="10"/>
        <v>11504105.216226205</v>
      </c>
      <c r="F68" s="1">
        <f t="shared" ref="F68:F131" si="13">F69+($M$9 *F69-E68)/D69*(A68-A69)</f>
        <v>11530076293.127487</v>
      </c>
      <c r="G68" s="3"/>
    </row>
    <row r="69" spans="1:7" x14ac:dyDescent="0.35">
      <c r="A69" s="1">
        <f t="shared" si="11"/>
        <v>67000000</v>
      </c>
      <c r="B69">
        <f t="shared" si="7"/>
        <v>231425.82036192215</v>
      </c>
      <c r="C69" s="1">
        <f t="shared" si="8"/>
        <v>17594384.9849585</v>
      </c>
      <c r="D69" s="1">
        <f t="shared" si="9"/>
        <v>567099.01035500318</v>
      </c>
      <c r="E69" s="1">
        <f t="shared" si="10"/>
        <v>12096688.944013864</v>
      </c>
      <c r="F69" s="1">
        <f t="shared" si="13"/>
        <v>11930547535.991106</v>
      </c>
    </row>
    <row r="70" spans="1:7" x14ac:dyDescent="0.35">
      <c r="A70" s="1">
        <f t="shared" si="11"/>
        <v>68000000</v>
      </c>
      <c r="B70">
        <f t="shared" si="7"/>
        <v>234144.07766315696</v>
      </c>
      <c r="C70" s="1">
        <f t="shared" si="8"/>
        <v>17970783.967708889</v>
      </c>
      <c r="D70" s="1">
        <f t="shared" si="9"/>
        <v>989298.55492827296</v>
      </c>
      <c r="E70" s="1">
        <f t="shared" si="10"/>
        <v>12697072.830350988</v>
      </c>
      <c r="F70" s="1">
        <f t="shared" si="13"/>
        <v>12164236383.069363</v>
      </c>
    </row>
    <row r="71" spans="1:7" x14ac:dyDescent="0.35">
      <c r="A71" s="1">
        <f t="shared" si="11"/>
        <v>69000000</v>
      </c>
      <c r="B71">
        <f t="shared" si="7"/>
        <v>236853.88122768144</v>
      </c>
      <c r="C71" s="1">
        <f t="shared" si="8"/>
        <v>18349563.9381974</v>
      </c>
      <c r="D71" s="1">
        <f t="shared" si="9"/>
        <v>1420513.5518903546</v>
      </c>
      <c r="E71" s="1">
        <f t="shared" si="10"/>
        <v>13305178.805297725</v>
      </c>
      <c r="F71" s="1">
        <f t="shared" si="13"/>
        <v>12328881455.242922</v>
      </c>
    </row>
    <row r="72" spans="1:7" x14ac:dyDescent="0.35">
      <c r="A72" s="1">
        <f t="shared" si="11"/>
        <v>70000000</v>
      </c>
      <c r="B72">
        <f t="shared" si="7"/>
        <v>239555.37930552178</v>
      </c>
      <c r="C72" s="1">
        <f t="shared" si="8"/>
        <v>18730705.122553721</v>
      </c>
      <c r="D72" s="1">
        <f t="shared" si="9"/>
        <v>1860584.6796669364</v>
      </c>
      <c r="E72" s="1">
        <f t="shared" si="10"/>
        <v>13920930.797150217</v>
      </c>
      <c r="F72" s="1">
        <f t="shared" si="13"/>
        <v>12455619688.412271</v>
      </c>
    </row>
    <row r="73" spans="1:7" x14ac:dyDescent="0.35">
      <c r="A73" s="1">
        <f t="shared" si="11"/>
        <v>71000000</v>
      </c>
      <c r="B73">
        <f t="shared" si="7"/>
        <v>242248.71546904111</v>
      </c>
      <c r="C73" s="1">
        <f t="shared" si="8"/>
        <v>19114188.192163318</v>
      </c>
      <c r="D73" s="1">
        <f t="shared" si="9"/>
        <v>2309352.1714279018</v>
      </c>
      <c r="E73" s="1">
        <f t="shared" si="10"/>
        <v>14544254.652077675</v>
      </c>
      <c r="F73" s="1">
        <f t="shared" si="13"/>
        <v>12558352446.572586</v>
      </c>
    </row>
    <row r="74" spans="1:7" x14ac:dyDescent="0.35">
      <c r="A74" s="1">
        <f t="shared" si="11"/>
        <v>72000000</v>
      </c>
      <c r="B74">
        <f t="shared" si="7"/>
        <v>244934.02882425231</v>
      </c>
      <c r="C74" s="1">
        <f t="shared" si="8"/>
        <v>19499994.247491602</v>
      </c>
      <c r="D74" s="1">
        <f t="shared" si="9"/>
        <v>2766655.8312632181</v>
      </c>
      <c r="E74" s="1">
        <f t="shared" si="10"/>
        <v>15175078.058116727</v>
      </c>
      <c r="F74" s="1">
        <f t="shared" si="13"/>
        <v>12644501862.013016</v>
      </c>
    </row>
    <row r="75" spans="1:7" x14ac:dyDescent="0.35">
      <c r="A75" s="1">
        <f t="shared" si="11"/>
        <v>73000000</v>
      </c>
      <c r="B75">
        <f t="shared" si="7"/>
        <v>247611.45420978405</v>
      </c>
      <c r="C75" s="1">
        <f t="shared" si="8"/>
        <v>19888104.802712727</v>
      </c>
      <c r="D75" s="1">
        <f t="shared" si="9"/>
        <v>3232335.0495540909</v>
      </c>
      <c r="E75" s="1">
        <f t="shared" si="10"/>
        <v>15813330.473227412</v>
      </c>
      <c r="F75" s="1">
        <f t="shared" si="13"/>
        <v>12718502536.137945</v>
      </c>
    </row>
    <row r="76" spans="1:7" x14ac:dyDescent="0.35">
      <c r="A76" s="1">
        <f t="shared" si="11"/>
        <v>74000000</v>
      </c>
      <c r="B76">
        <f t="shared" si="7"/>
        <v>250281.12238438774</v>
      </c>
      <c r="C76" s="1">
        <f t="shared" si="8"/>
        <v>20278501.771093193</v>
      </c>
      <c r="D76" s="1">
        <f t="shared" si="9"/>
        <v>3706228.817589391</v>
      </c>
      <c r="E76" s="1">
        <f t="shared" si="10"/>
        <v>16458943.057140306</v>
      </c>
      <c r="F76" s="1">
        <f t="shared" si="13"/>
        <v>12783218193.264606</v>
      </c>
    </row>
    <row r="77" spans="1:7" x14ac:dyDescent="0.35">
      <c r="A77" s="1">
        <f t="shared" si="11"/>
        <v>75000000</v>
      </c>
      <c r="B77">
        <f t="shared" si="7"/>
        <v>252943.16020378066</v>
      </c>
      <c r="C77" s="1">
        <f t="shared" si="8"/>
        <v>20671167.451082487</v>
      </c>
      <c r="D77" s="1">
        <f t="shared" si="9"/>
        <v>4188175.7414749898</v>
      </c>
      <c r="E77" s="1">
        <f t="shared" si="10"/>
        <v>17111848.606744274</v>
      </c>
      <c r="F77" s="1">
        <f t="shared" si="13"/>
        <v>12840606709.403204</v>
      </c>
    </row>
    <row r="78" spans="1:7" x14ac:dyDescent="0.35">
      <c r="A78" s="1">
        <f t="shared" si="11"/>
        <v>76000000</v>
      </c>
      <c r="B78">
        <f t="shared" si="7"/>
        <v>255597.69078757495</v>
      </c>
      <c r="C78" s="1">
        <f t="shared" si="8"/>
        <v>21066084.513068505</v>
      </c>
      <c r="D78" s="1">
        <f t="shared" si="9"/>
        <v>4678014.0553783551</v>
      </c>
      <c r="E78" s="1">
        <f t="shared" si="10"/>
        <v>17771981.494786002</v>
      </c>
      <c r="F78" s="1">
        <f t="shared" si="13"/>
        <v>12892066469.449345</v>
      </c>
    </row>
    <row r="79" spans="1:7" x14ac:dyDescent="0.35">
      <c r="A79" s="1">
        <f t="shared" si="11"/>
        <v>77000000</v>
      </c>
      <c r="B79">
        <f t="shared" si="7"/>
        <v>258244.83367696076</v>
      </c>
      <c r="C79" s="1">
        <f t="shared" si="8"/>
        <v>21463235.986756705</v>
      </c>
      <c r="D79" s="1">
        <f t="shared" si="9"/>
        <v>5175581.6341494024</v>
      </c>
      <c r="E79" s="1">
        <f t="shared" si="10"/>
        <v>18439277.611668117</v>
      </c>
      <c r="F79" s="1">
        <f t="shared" si="13"/>
        <v>12938631409.145777</v>
      </c>
    </row>
    <row r="80" spans="1:7" x14ac:dyDescent="0.35">
      <c r="A80" s="1">
        <f t="shared" si="11"/>
        <v>78000000</v>
      </c>
      <c r="B80">
        <f t="shared" si="7"/>
        <v>260884.7049837854</v>
      </c>
      <c r="C80" s="1">
        <f t="shared" si="8"/>
        <v>21862605.249136947</v>
      </c>
      <c r="D80" s="1">
        <f t="shared" si="9"/>
        <v>5680716.0053536296</v>
      </c>
      <c r="E80" s="1">
        <f t="shared" si="10"/>
        <v>19113674.310150594</v>
      </c>
      <c r="F80" s="1">
        <f t="shared" si="13"/>
        <v>12981087761.017864</v>
      </c>
    </row>
    <row r="81" spans="1:6" x14ac:dyDescent="0.35">
      <c r="A81" s="1">
        <f t="shared" si="11"/>
        <v>79000000</v>
      </c>
      <c r="B81">
        <f t="shared" si="7"/>
        <v>263517.41753158288</v>
      </c>
      <c r="C81" s="1">
        <f t="shared" si="8"/>
        <v>22264176.013002295</v>
      </c>
      <c r="D81" s="1">
        <f t="shared" si="9"/>
        <v>6193254.3607533425</v>
      </c>
      <c r="E81" s="1">
        <f t="shared" si="10"/>
        <v>19795110.352774017</v>
      </c>
      <c r="F81" s="1">
        <f t="shared" si="13"/>
        <v>13020047451.783119</v>
      </c>
    </row>
    <row r="82" spans="1:6" x14ac:dyDescent="0.35">
      <c r="A82" s="1">
        <f t="shared" si="11"/>
        <v>80000000</v>
      </c>
      <c r="B82">
        <f t="shared" si="7"/>
        <v>266143.08098909527</v>
      </c>
      <c r="C82" s="1">
        <f t="shared" si="8"/>
        <v>22667932.315988578</v>
      </c>
      <c r="D82" s="1">
        <f t="shared" si="9"/>
        <v>6713033.5672680736</v>
      </c>
      <c r="E82" s="1">
        <f t="shared" si="10"/>
        <v>20483525.861837588</v>
      </c>
      <c r="F82" s="1">
        <f t="shared" si="13"/>
        <v>13055996149.225719</v>
      </c>
    </row>
    <row r="83" spans="1:6" x14ac:dyDescent="0.35">
      <c r="A83" s="1">
        <f t="shared" si="11"/>
        <v>81000000</v>
      </c>
      <c r="B83">
        <f t="shared" si="7"/>
        <v>268761.80199678155</v>
      </c>
      <c r="C83" s="1">
        <f t="shared" si="8"/>
        <v>23073858.510104761</v>
      </c>
      <c r="D83" s="1">
        <f t="shared" si="9"/>
        <v>7239890.1774442233</v>
      </c>
      <c r="E83" s="1">
        <f t="shared" si="10"/>
        <v>21178862.271775283</v>
      </c>
      <c r="F83" s="1">
        <f t="shared" si="13"/>
        <v>13089325797.07472</v>
      </c>
    </row>
    <row r="84" spans="1:6" x14ac:dyDescent="0.35">
      <c r="A84" s="1">
        <f t="shared" si="11"/>
        <v>82000000</v>
      </c>
      <c r="B84">
        <f t="shared" si="7"/>
        <v>271373.68428674102</v>
      </c>
      <c r="C84" s="1">
        <f t="shared" si="8"/>
        <v>23481939.251725871</v>
      </c>
      <c r="D84" s="1">
        <f t="shared" si="9"/>
        <v>7773660.439462129</v>
      </c>
      <c r="E84" s="1">
        <f t="shared" si="10"/>
        <v>21881062.28378848</v>
      </c>
      <c r="F84" s="1">
        <f t="shared" si="13"/>
        <v>13120357289.303236</v>
      </c>
    </row>
    <row r="85" spans="1:6" x14ac:dyDescent="0.35">
      <c r="A85" s="1">
        <f t="shared" si="11"/>
        <v>83000000</v>
      </c>
      <c r="B85">
        <f t="shared" si="7"/>
        <v>273978.82879650139</v>
      </c>
      <c r="C85" s="1">
        <f t="shared" si="8"/>
        <v>23892159.492023285</v>
      </c>
      <c r="D85" s="1">
        <f t="shared" si="9"/>
        <v>8314180.3067057766</v>
      </c>
      <c r="E85" s="1">
        <f t="shared" si="10"/>
        <v>22590069.822598159</v>
      </c>
      <c r="F85" s="1">
        <f t="shared" si="13"/>
        <v>13149356668.941488</v>
      </c>
    </row>
    <row r="86" spans="1:6" x14ac:dyDescent="0.35">
      <c r="A86" s="1">
        <f t="shared" si="11"/>
        <v>84000000</v>
      </c>
      <c r="B86">
        <f t="shared" si="7"/>
        <v>276577.33377702202</v>
      </c>
      <c r="C86" s="1">
        <f t="shared" si="8"/>
        <v>24304504.467807516</v>
      </c>
      <c r="D86" s="1">
        <f t="shared" si="9"/>
        <v>8861285.4469200261</v>
      </c>
      <c r="E86" s="1">
        <f t="shared" si="10"/>
        <v>23305829.995195925</v>
      </c>
      <c r="F86" s="1">
        <f t="shared" si="13"/>
        <v>13176546953.091852</v>
      </c>
    </row>
    <row r="87" spans="1:6" x14ac:dyDescent="0.35">
      <c r="A87" s="1">
        <f t="shared" si="11"/>
        <v>85000000</v>
      </c>
      <c r="B87">
        <f t="shared" si="7"/>
        <v>279169.29489530541</v>
      </c>
      <c r="C87" s="1">
        <f t="shared" si="8"/>
        <v>24718959.692761876</v>
      </c>
      <c r="D87" s="1">
        <f t="shared" si="9"/>
        <v>9414811.250976935</v>
      </c>
      <c r="E87" s="1">
        <f t="shared" si="10"/>
        <v>24028289.051475339</v>
      </c>
      <c r="F87" s="1">
        <f t="shared" si="13"/>
        <v>13202116930.247238</v>
      </c>
    </row>
    <row r="88" spans="1:6" x14ac:dyDescent="0.35">
      <c r="A88" s="1">
        <f t="shared" si="11"/>
        <v>86000000</v>
      </c>
      <c r="B88">
        <f t="shared" si="7"/>
        <v>281754.80533191457</v>
      </c>
      <c r="C88" s="1">
        <f t="shared" si="8"/>
        <v>25135510.949044902</v>
      </c>
      <c r="D88" s="1">
        <f t="shared" si="9"/>
        <v>9974592.8412732966</v>
      </c>
      <c r="E88" s="1">
        <f t="shared" si="10"/>
        <v>24757394.346638307</v>
      </c>
      <c r="F88" s="1">
        <f t="shared" si="13"/>
        <v>13226227815.883699</v>
      </c>
    </row>
    <row r="89" spans="1:6" x14ac:dyDescent="0.35">
      <c r="A89" s="1">
        <f t="shared" si="11"/>
        <v>87000000</v>
      </c>
      <c r="B89">
        <f t="shared" si="7"/>
        <v>284333.95587373048</v>
      </c>
      <c r="C89" s="1">
        <f t="shared" si="8"/>
        <v>25554144.279242739</v>
      </c>
      <c r="D89" s="1">
        <f t="shared" si="9"/>
        <v>10540465.079778373</v>
      </c>
      <c r="E89" s="1">
        <f t="shared" si="10"/>
        <v>25493094.305274643</v>
      </c>
      <c r="F89" s="1">
        <f t="shared" si="13"/>
        <v>13249018363.654434</v>
      </c>
    </row>
    <row r="90" spans="1:6" x14ac:dyDescent="0.35">
      <c r="A90" s="1">
        <f t="shared" si="11"/>
        <v>88000000</v>
      </c>
      <c r="B90">
        <f t="shared" si="7"/>
        <v>286906.83500221733</v>
      </c>
      <c r="C90" s="1">
        <f t="shared" si="8"/>
        <v>25974845.97865257</v>
      </c>
      <c r="D90" s="1">
        <f t="shared" si="9"/>
        <v>11112262.575750325</v>
      </c>
      <c r="E90" s="1">
        <f t="shared" si="10"/>
        <v>26235338.387022689</v>
      </c>
      <c r="F90" s="1">
        <f t="shared" si="13"/>
        <v>13270608843.624804</v>
      </c>
    </row>
    <row r="91" spans="1:6" x14ac:dyDescent="0.35">
      <c r="A91" s="1">
        <f t="shared" si="11"/>
        <v>89000000</v>
      </c>
      <c r="B91">
        <f t="shared" si="7"/>
        <v>289473.52897747583</v>
      </c>
      <c r="C91" s="1">
        <f t="shared" si="8"/>
        <v>26397602.58788028</v>
      </c>
      <c r="D91" s="1">
        <f t="shared" si="9"/>
        <v>11689819.69313864</v>
      </c>
      <c r="E91" s="1">
        <f t="shared" si="10"/>
        <v>26984077.053722963</v>
      </c>
      <c r="F91" s="1">
        <f t="shared" si="13"/>
        <v>13291104176.438395</v>
      </c>
    </row>
    <row r="92" spans="1:6" x14ac:dyDescent="0.35">
      <c r="A92" s="1">
        <f t="shared" si="11"/>
        <v>90000000</v>
      </c>
      <c r="B92">
        <f t="shared" si="7"/>
        <v>292034.12191831024</v>
      </c>
      <c r="C92" s="1">
        <f t="shared" si="8"/>
        <v>26822400.885735292</v>
      </c>
      <c r="D92" s="1">
        <f t="shared" si="9"/>
        <v>12272970.557689261</v>
      </c>
      <c r="E92" s="1">
        <f t="shared" si="10"/>
        <v>27739261.737983823</v>
      </c>
      <c r="F92" s="1">
        <f t="shared" si="13"/>
        <v>13310596429.794472</v>
      </c>
    </row>
    <row r="93" spans="1:6" x14ac:dyDescent="0.35">
      <c r="A93" s="1">
        <f t="shared" si="11"/>
        <v>91000000</v>
      </c>
      <c r="B93">
        <f t="shared" si="7"/>
        <v>294588.69587857008</v>
      </c>
      <c r="C93" s="1">
        <f t="shared" si="8"/>
        <v>27249227.882408932</v>
      </c>
      <c r="D93" s="1">
        <f t="shared" si="9"/>
        <v>12861549.063766226</v>
      </c>
      <c r="E93" s="1">
        <f t="shared" si="10"/>
        <v>28500844.813082904</v>
      </c>
      <c r="F93" s="1">
        <f t="shared" si="13"/>
        <v>13329166827.000738</v>
      </c>
    </row>
    <row r="94" spans="1:6" x14ac:dyDescent="0.35">
      <c r="A94" s="1">
        <f t="shared" si="11"/>
        <v>92000000</v>
      </c>
      <c r="B94">
        <f t="shared" si="7"/>
        <v>297137.33091994212</v>
      </c>
      <c r="C94" s="1">
        <f t="shared" si="8"/>
        <v>27678070.812920149</v>
      </c>
      <c r="D94" s="1">
        <f t="shared" si="9"/>
        <v>13455388.880905937</v>
      </c>
      <c r="E94" s="1">
        <f t="shared" si="10"/>
        <v>29268779.564133257</v>
      </c>
      <c r="F94" s="1">
        <f t="shared" si="13"/>
        <v>13346887377.841309</v>
      </c>
    </row>
    <row r="95" spans="1:6" x14ac:dyDescent="0.35">
      <c r="A95" s="1">
        <f t="shared" si="11"/>
        <v>93000000</v>
      </c>
      <c r="B95">
        <f t="shared" si="7"/>
        <v>299680.1051814332</v>
      </c>
      <c r="C95" s="1">
        <f t="shared" si="8"/>
        <v>28108917.130817272</v>
      </c>
      <c r="D95" s="1">
        <f t="shared" si="9"/>
        <v>14054323.460115448</v>
      </c>
      <c r="E95" s="1">
        <f t="shared" si="10"/>
        <v>30043020.160447359</v>
      </c>
      <c r="F95" s="1">
        <f t="shared" si="13"/>
        <v>13363822213.971325</v>
      </c>
    </row>
    <row r="96" spans="1:6" x14ac:dyDescent="0.35">
      <c r="A96" s="1">
        <f t="shared" si="11"/>
        <v>94000000</v>
      </c>
      <c r="B96">
        <f t="shared" si="7"/>
        <v>302217.09494569292</v>
      </c>
      <c r="C96" s="1">
        <f t="shared" si="8"/>
        <v>28541754.502121374</v>
      </c>
      <c r="D96" s="1">
        <f t="shared" si="9"/>
        <v>14658186.03992904</v>
      </c>
      <c r="E96" s="1">
        <f t="shared" si="10"/>
        <v>30823521.629036695</v>
      </c>
      <c r="F96" s="1">
        <f t="shared" si="13"/>
        <v>13380028690.885326</v>
      </c>
    </row>
    <row r="97" spans="1:6" x14ac:dyDescent="0.35">
      <c r="A97" s="1">
        <f t="shared" si="11"/>
        <v>95000000</v>
      </c>
      <c r="B97">
        <f t="shared" si="7"/>
        <v>304748.37470238179</v>
      </c>
      <c r="C97" s="1">
        <f t="shared" si="8"/>
        <v>28976570.799501024</v>
      </c>
      <c r="D97" s="1">
        <f t="shared" si="9"/>
        <v>15266809.652233519</v>
      </c>
      <c r="E97" s="1">
        <f t="shared" si="10"/>
        <v>31610239.829188354</v>
      </c>
      <c r="F97" s="1">
        <f t="shared" si="13"/>
        <v>13395558303.806938</v>
      </c>
    </row>
    <row r="98" spans="1:6" x14ac:dyDescent="0.35">
      <c r="A98" s="1">
        <f t="shared" si="11"/>
        <v>96000000</v>
      </c>
      <c r="B98">
        <f t="shared" si="7"/>
        <v>307274.01720871916</v>
      </c>
      <c r="C98" s="1">
        <f t="shared" si="8"/>
        <v>29413354.096665725</v>
      </c>
      <c r="D98" s="1">
        <f t="shared" si="9"/>
        <v>15880027.127874747</v>
      </c>
      <c r="E98" s="1">
        <f t="shared" si="10"/>
        <v>32403131.428063422</v>
      </c>
      <c r="F98" s="1">
        <f t="shared" si="13"/>
        <v>13410457454.000172</v>
      </c>
    </row>
    <row r="99" spans="1:6" x14ac:dyDescent="0.35">
      <c r="A99" s="1">
        <f t="shared" si="11"/>
        <v>97000000</v>
      </c>
      <c r="B99">
        <f t="shared" si="7"/>
        <v>309794.09354738839</v>
      </c>
      <c r="C99" s="1">
        <f t="shared" si="8"/>
        <v>29852092.662969112</v>
      </c>
      <c r="D99" s="1">
        <f t="shared" si="9"/>
        <v>16497671.102054439</v>
      </c>
      <c r="E99" s="1">
        <f t="shared" si="10"/>
        <v>33202153.877266191</v>
      </c>
      <c r="F99" s="1">
        <f t="shared" si="13"/>
        <v>13424768093.907442</v>
      </c>
    </row>
    <row r="100" spans="1:6" x14ac:dyDescent="0.35">
      <c r="A100" s="1">
        <f t="shared" si="11"/>
        <v>98000000</v>
      </c>
      <c r="B100">
        <f t="shared" si="7"/>
        <v>312308.67318192817</v>
      </c>
      <c r="C100" s="1">
        <f t="shared" si="8"/>
        <v>30292774.958211195</v>
      </c>
      <c r="D100" s="1">
        <f t="shared" si="9"/>
        <v>17119574.019527968</v>
      </c>
      <c r="E100" s="1">
        <f t="shared" si="10"/>
        <v>34007265.390335217</v>
      </c>
      <c r="F100" s="1">
        <f t="shared" si="13"/>
        <v>13438528273.414381</v>
      </c>
    </row>
    <row r="101" spans="1:6" x14ac:dyDescent="0.35">
      <c r="A101" s="1">
        <f t="shared" si="11"/>
        <v>99000000</v>
      </c>
      <c r="B101">
        <f t="shared" si="7"/>
        <v>314817.82400973659</v>
      </c>
      <c r="C101" s="1">
        <f t="shared" si="8"/>
        <v>30735389.627629749</v>
      </c>
      <c r="D101" s="1">
        <f t="shared" si="9"/>
        <v>17745568.139612898</v>
      </c>
      <c r="E101" s="1">
        <f t="shared" si="10"/>
        <v>34818424.92111063</v>
      </c>
      <c r="F101" s="1">
        <f t="shared" si="13"/>
        <v>13451772604.892441</v>
      </c>
    </row>
    <row r="102" spans="1:6" x14ac:dyDescent="0.35">
      <c r="A102" s="1">
        <f t="shared" si="11"/>
        <v>100000000</v>
      </c>
      <c r="B102">
        <f t="shared" si="7"/>
        <v>317321.6124128392</v>
      </c>
      <c r="C102" s="1">
        <f t="shared" si="8"/>
        <v>31179925.497074079</v>
      </c>
      <c r="D102" s="1">
        <f t="shared" si="9"/>
        <v>18375485.541015323</v>
      </c>
      <c r="E102" s="1">
        <f t="shared" si="10"/>
        <v>35635592.142935626</v>
      </c>
      <c r="F102" s="1">
        <f t="shared" si="13"/>
        <v>13464532661.097622</v>
      </c>
    </row>
    <row r="103" spans="1:6" x14ac:dyDescent="0.35">
      <c r="A103" s="1">
        <f t="shared" si="11"/>
        <v>101000000</v>
      </c>
      <c r="B103">
        <f t="shared" si="7"/>
        <v>319820.10330650111</v>
      </c>
      <c r="C103" s="1">
        <f t="shared" si="8"/>
        <v>31626371.568349939</v>
      </c>
      <c r="D103" s="1">
        <f t="shared" si="9"/>
        <v>19009158.126484837</v>
      </c>
      <c r="E103" s="1">
        <f t="shared" si="10"/>
        <v>36458727.428650171</v>
      </c>
      <c r="F103" s="1">
        <f t="shared" si="13"/>
        <v>13476837317.234701</v>
      </c>
    </row>
    <row r="104" spans="1:6" x14ac:dyDescent="0.35">
      <c r="A104" s="1">
        <f t="shared" si="11"/>
        <v>102000000</v>
      </c>
      <c r="B104">
        <f t="shared" si="7"/>
        <v>322313.36018583365</v>
      </c>
      <c r="C104" s="1">
        <f t="shared" si="8"/>
        <v>32074717.014731072</v>
      </c>
      <c r="D104" s="1">
        <f t="shared" si="9"/>
        <v>19646417.627303056</v>
      </c>
      <c r="E104" s="1">
        <f t="shared" si="10"/>
        <v>37287791.831341356</v>
      </c>
      <c r="F104" s="1">
        <f t="shared" si="13"/>
        <v>13488713046.33321</v>
      </c>
    </row>
    <row r="105" spans="1:6" x14ac:dyDescent="0.35">
      <c r="A105" s="1">
        <f t="shared" si="11"/>
        <v>103000000</v>
      </c>
      <c r="B105">
        <f t="shared" si="7"/>
        <v>324801.445170463</v>
      </c>
      <c r="C105" s="1">
        <f t="shared" si="8"/>
        <v>32524951.176626869</v>
      </c>
      <c r="D105" s="1">
        <f t="shared" si="9"/>
        <v>20287095.60761597</v>
      </c>
      <c r="E105" s="1">
        <f t="shared" si="10"/>
        <v>38122747.065811709</v>
      </c>
      <c r="F105" s="1">
        <f t="shared" si="13"/>
        <v>13500184175.378851</v>
      </c>
    </row>
    <row r="106" spans="1:6" x14ac:dyDescent="0.35">
      <c r="A106" s="1">
        <f t="shared" si="11"/>
        <v>104000000</v>
      </c>
      <c r="B106">
        <f t="shared" si="7"/>
        <v>327284.41904737969</v>
      </c>
      <c r="C106" s="1">
        <f t="shared" si="8"/>
        <v>32977063.557401236</v>
      </c>
      <c r="D106" s="1">
        <f t="shared" si="9"/>
        <v>20931023.468614999</v>
      </c>
      <c r="E106" s="1">
        <f t="shared" si="10"/>
        <v>38963555.490734249</v>
      </c>
      <c r="F106" s="1">
        <f t="shared" si="13"/>
        <v>13511273108.294535</v>
      </c>
    </row>
    <row r="107" spans="1:6" x14ac:dyDescent="0.35">
      <c r="A107" s="1">
        <f t="shared" si="11"/>
        <v>105000000</v>
      </c>
      <c r="B107">
        <f t="shared" si="7"/>
        <v>329762.341312056</v>
      </c>
      <c r="C107" s="1">
        <f t="shared" si="8"/>
        <v>33431043.819335278</v>
      </c>
      <c r="D107" s="1">
        <f t="shared" si="9"/>
        <v>21578032.452574465</v>
      </c>
      <c r="E107" s="1">
        <f t="shared" si="10"/>
        <v>39810180.09146069</v>
      </c>
      <c r="F107" s="1">
        <f t="shared" si="13"/>
        <v>13522000520.788412</v>
      </c>
    </row>
    <row r="108" spans="1:6" x14ac:dyDescent="0.35">
      <c r="A108" s="1">
        <f t="shared" si="11"/>
        <v>106000000</v>
      </c>
      <c r="B108">
        <f t="shared" si="7"/>
        <v>332235.27020791761</v>
      </c>
      <c r="C108" s="1">
        <f t="shared" si="8"/>
        <v>33886881.779727772</v>
      </c>
      <c r="D108" s="1">
        <f t="shared" si="9"/>
        <v>22227953.646750912</v>
      </c>
      <c r="E108" s="1">
        <f t="shared" si="10"/>
        <v>40662584.463453598</v>
      </c>
      <c r="F108" s="1">
        <f t="shared" si="13"/>
        <v>13532385531.221737</v>
      </c>
    </row>
    <row r="109" spans="1:6" x14ac:dyDescent="0.35">
      <c r="A109" s="1">
        <f t="shared" si="11"/>
        <v>107000000</v>
      </c>
      <c r="B109">
        <f t="shared" si="7"/>
        <v>334703.26276423805</v>
      </c>
      <c r="C109" s="1">
        <f t="shared" si="8"/>
        <v>34344567.407126658</v>
      </c>
      <c r="D109" s="1">
        <f t="shared" si="9"/>
        <v>22880617.987151787</v>
      </c>
      <c r="E109" s="1">
        <f t="shared" si="10"/>
        <v>41520732.796313554</v>
      </c>
      <c r="F109" s="1">
        <f t="shared" si="13"/>
        <v>13542445850.951075</v>
      </c>
    </row>
    <row r="110" spans="1:6" x14ac:dyDescent="0.35">
      <c r="A110" s="1">
        <f t="shared" si="11"/>
        <v>108000000</v>
      </c>
      <c r="B110">
        <f t="shared" si="7"/>
        <v>337166.37483255332</v>
      </c>
      <c r="C110" s="1">
        <f t="shared" si="8"/>
        <v>34804090.817687146</v>
      </c>
      <c r="D110" s="1">
        <f t="shared" si="9"/>
        <v>23535856.262177221</v>
      </c>
      <c r="E110" s="1">
        <f t="shared" si="10"/>
        <v>42384589.85837464</v>
      </c>
      <c r="F110" s="1">
        <f t="shared" si="13"/>
        <v>13552197917.032188</v>
      </c>
    </row>
    <row r="111" spans="1:6" x14ac:dyDescent="0.35">
      <c r="A111" s="1">
        <f t="shared" si="11"/>
        <v>109000000</v>
      </c>
      <c r="B111">
        <f t="shared" si="7"/>
        <v>339624.66112165636</v>
      </c>
      <c r="C111" s="1">
        <f t="shared" si="8"/>
        <v>35265442.271650508</v>
      </c>
      <c r="D111" s="1">
        <f t="shared" si="9"/>
        <v>24193499.116141327</v>
      </c>
      <c r="E111" s="1">
        <f t="shared" si="10"/>
        <v>43254120.981842957</v>
      </c>
      <c r="F111" s="1">
        <f t="shared" si="13"/>
        <v>13561657009.709822</v>
      </c>
    </row>
    <row r="112" spans="1:6" x14ac:dyDescent="0.35">
      <c r="A112" s="1">
        <f t="shared" si="11"/>
        <v>110000000</v>
      </c>
      <c r="B112">
        <f t="shared" si="7"/>
        <v>342078.17523123196</v>
      </c>
      <c r="C112" s="1">
        <f t="shared" si="8"/>
        <v>35728612.169937983</v>
      </c>
      <c r="D112" s="1">
        <f t="shared" si="9"/>
        <v>24853377.05267822</v>
      </c>
      <c r="E112" s="1">
        <f t="shared" si="10"/>
        <v>44129292.048454076</v>
      </c>
      <c r="F112" s="1">
        <f t="shared" si="13"/>
        <v>13570837356.737484</v>
      </c>
    </row>
    <row r="113" spans="1:6" x14ac:dyDescent="0.35">
      <c r="A113" s="1">
        <f t="shared" si="11"/>
        <v>111000000</v>
      </c>
      <c r="B113">
        <f t="shared" si="7"/>
        <v>344526.96968421835</v>
      </c>
      <c r="C113" s="1">
        <f t="shared" si="8"/>
        <v>36193591.050856084</v>
      </c>
      <c r="D113" s="1">
        <f t="shared" si="9"/>
        <v>25515320.43803677</v>
      </c>
      <c r="E113" s="1">
        <f t="shared" si="10"/>
        <v>45010069.475626022</v>
      </c>
      <c r="F113" s="1">
        <f t="shared" si="13"/>
        <v>13579752226.2579</v>
      </c>
    </row>
    <row r="114" spans="1:6" x14ac:dyDescent="0.35">
      <c r="A114" s="1">
        <f t="shared" si="11"/>
        <v>112000000</v>
      </c>
      <c r="B114">
        <f t="shared" si="7"/>
        <v>346971.09595793061</v>
      </c>
      <c r="C114" s="1">
        <f t="shared" si="8"/>
        <v>36660369.586907655</v>
      </c>
      <c r="D114" s="1">
        <f t="shared" si="9"/>
        <v>26179159.504269481</v>
      </c>
      <c r="E114" s="1">
        <f t="shared" si="10"/>
        <v>45896420.203087293</v>
      </c>
      <c r="F114" s="1">
        <f t="shared" si="13"/>
        <v>13588414009.715145</v>
      </c>
    </row>
    <row r="115" spans="1:6" x14ac:dyDescent="0.35">
      <c r="A115" s="1">
        <f t="shared" si="11"/>
        <v>113000000</v>
      </c>
      <c r="B115">
        <f t="shared" si="7"/>
        <v>349410.60451402003</v>
      </c>
      <c r="C115" s="1">
        <f t="shared" si="8"/>
        <v>37128938.581705153</v>
      </c>
      <c r="D115" s="1">
        <f t="shared" si="9"/>
        <v>26844724.352319255</v>
      </c>
      <c r="E115" s="1">
        <f t="shared" si="10"/>
        <v>46788311.67995885</v>
      </c>
      <c r="F115" s="1">
        <f t="shared" si="13"/>
        <v>13596834296.053398</v>
      </c>
    </row>
    <row r="116" spans="1:6" x14ac:dyDescent="0.35">
      <c r="A116" s="1">
        <f t="shared" si="11"/>
        <v>114000000</v>
      </c>
      <c r="B116">
        <f t="shared" si="7"/>
        <v>351845.54482731648</v>
      </c>
      <c r="C116" s="1">
        <f t="shared" si="8"/>
        <v>37599288.966981292</v>
      </c>
      <c r="D116" s="1">
        <f t="shared" si="9"/>
        <v>27511844.95500876</v>
      </c>
      <c r="E116" s="1">
        <f t="shared" si="10"/>
        <v>47685711.852270074</v>
      </c>
      <c r="F116" s="1">
        <f t="shared" si="13"/>
        <v>13605023938.276739</v>
      </c>
    </row>
    <row r="117" spans="1:6" x14ac:dyDescent="0.35">
      <c r="A117" s="1">
        <f t="shared" si="11"/>
        <v>115000000</v>
      </c>
      <c r="B117">
        <f t="shared" si="7"/>
        <v>354275.96541360475</v>
      </c>
      <c r="C117" s="1">
        <f t="shared" si="8"/>
        <v>38071411.79969383</v>
      </c>
      <c r="D117" s="1">
        <f t="shared" si="9"/>
        <v>28180351.159935594</v>
      </c>
      <c r="E117" s="1">
        <f t="shared" si="10"/>
        <v>48588589.150891818</v>
      </c>
      <c r="F117" s="1">
        <f t="shared" si="13"/>
        <v>13612993113.293013</v>
      </c>
    </row>
    <row r="118" spans="1:6" x14ac:dyDescent="0.35">
      <c r="A118" s="1">
        <f t="shared" si="11"/>
        <v>116000000</v>
      </c>
      <c r="B118">
        <f t="shared" si="7"/>
        <v>356701.9138563929</v>
      </c>
      <c r="C118" s="1">
        <f t="shared" si="8"/>
        <v>38545298.259220652</v>
      </c>
      <c r="D118" s="1">
        <f t="shared" si="9"/>
        <v>28850072.692277245</v>
      </c>
      <c r="E118" s="1">
        <f t="shared" si="10"/>
        <v>49496912.479867652</v>
      </c>
      <c r="F118" s="1">
        <f t="shared" si="13"/>
        <v>13620751375.83721</v>
      </c>
    </row>
    <row r="119" spans="1:6" x14ac:dyDescent="0.35">
      <c r="A119" s="1">
        <f t="shared" si="11"/>
        <v>117000000</v>
      </c>
      <c r="B119">
        <f t="shared" si="7"/>
        <v>359123.43683269364</v>
      </c>
      <c r="C119" s="1">
        <f t="shared" si="8"/>
        <v>39020939.644640572</v>
      </c>
      <c r="D119" s="1">
        <f t="shared" si="9"/>
        <v>29520839.157510258</v>
      </c>
      <c r="E119" s="1">
        <f t="shared" si="10"/>
        <v>50410651.205127425</v>
      </c>
      <c r="F119" s="1">
        <f t="shared" si="13"/>
        <v>13628307707.162115</v>
      </c>
    </row>
    <row r="120" spans="1:6" x14ac:dyDescent="0.35">
      <c r="A120" s="1">
        <f t="shared" si="11"/>
        <v>118000000</v>
      </c>
      <c r="B120">
        <f t="shared" si="7"/>
        <v>361540.58013789105</v>
      </c>
      <c r="C120" s="1">
        <f t="shared" si="8"/>
        <v>39498327.372098044</v>
      </c>
      <c r="D120" s="1">
        <f t="shared" si="9"/>
        <v>30192480.044045538</v>
      </c>
      <c r="E120" s="1">
        <f t="shared" si="10"/>
        <v>51329775.143567391</v>
      </c>
      <c r="F120" s="1">
        <f t="shared" si="13"/>
        <v>13635670559.092543</v>
      </c>
    </row>
    <row r="121" spans="1:6" x14ac:dyDescent="0.35">
      <c r="A121" s="1">
        <f t="shared" si="11"/>
        <v>119000000</v>
      </c>
      <c r="B121">
        <f t="shared" si="7"/>
        <v>363953.38870972052</v>
      </c>
      <c r="C121" s="1">
        <f t="shared" si="8"/>
        <v>39977452.972247578</v>
      </c>
      <c r="D121" s="1">
        <f t="shared" si="9"/>
        <v>30864824.725783937</v>
      </c>
      <c r="E121" s="1">
        <f t="shared" si="10"/>
        <v>52254254.552481227</v>
      </c>
      <c r="F121" s="1">
        <f t="shared" si="13"/>
        <v>13642847893.961729</v>
      </c>
    </row>
    <row r="122" spans="1:6" x14ac:dyDescent="0.35">
      <c r="A122" s="1">
        <f t="shared" si="11"/>
        <v>120000000</v>
      </c>
      <c r="B122">
        <f t="shared" si="7"/>
        <v>366361.90665139188</v>
      </c>
      <c r="C122" s="1">
        <f t="shared" si="8"/>
        <v>40458308.08777485</v>
      </c>
      <c r="D122" s="1">
        <f t="shared" si="9"/>
        <v>31537702.464595161</v>
      </c>
      <c r="E122" s="1">
        <f t="shared" si="10"/>
        <v>53184060.11932914</v>
      </c>
      <c r="F122" s="1">
        <f t="shared" si="13"/>
        <v>13649847220.882038</v>
      </c>
    </row>
    <row r="123" spans="1:6" x14ac:dyDescent="0.35">
      <c r="A123" s="1">
        <f t="shared" si="11"/>
        <v>121000000</v>
      </c>
      <c r="B123">
        <f t="shared" si="7"/>
        <v>368766.17725391086</v>
      </c>
      <c r="C123" s="1">
        <f t="shared" si="8"/>
        <v>40940884.470991887</v>
      </c>
      <c r="D123" s="1">
        <f t="shared" si="9"/>
        <v>32210942.41272255</v>
      </c>
      <c r="E123" s="1">
        <f t="shared" si="10"/>
        <v>54119162.951829739</v>
      </c>
      <c r="F123" s="1">
        <f t="shared" si="13"/>
        <v>13656675628.745346</v>
      </c>
    </row>
    <row r="124" spans="1:6" x14ac:dyDescent="0.35">
      <c r="A124" s="1">
        <f t="shared" si="11"/>
        <v>122000000</v>
      </c>
      <c r="B124">
        <f t="shared" si="7"/>
        <v>371166.24301761494</v>
      </c>
      <c r="C124" s="1">
        <f t="shared" si="8"/>
        <v>41425173.981503032</v>
      </c>
      <c r="D124" s="1">
        <f t="shared" si="9"/>
        <v>32884373.61511711</v>
      </c>
      <c r="E124" s="1">
        <f t="shared" si="10"/>
        <v>55059534.5683631</v>
      </c>
      <c r="F124" s="1">
        <f t="shared" si="13"/>
        <v>13663339816.299566</v>
      </c>
    </row>
    <row r="125" spans="1:6" x14ac:dyDescent="0.35">
      <c r="A125" s="1">
        <f t="shared" si="11"/>
        <v>123000000</v>
      </c>
      <c r="B125">
        <f t="shared" si="7"/>
        <v>373562.14567297761</v>
      </c>
      <c r="C125" s="1">
        <f t="shared" si="8"/>
        <v>41911168.583940022</v>
      </c>
      <c r="D125" s="1">
        <f t="shared" si="9"/>
        <v>33557825.01170247</v>
      </c>
      <c r="E125" s="1">
        <f t="shared" si="10"/>
        <v>56005146.888672493</v>
      </c>
      <c r="F125" s="1">
        <f t="shared" si="13"/>
        <v>13669846119.605803</v>
      </c>
    </row>
    <row r="126" spans="1:6" x14ac:dyDescent="0.35">
      <c r="A126" s="1">
        <f t="shared" si="11"/>
        <v>124000000</v>
      </c>
      <c r="B126">
        <f t="shared" si="7"/>
        <v>375953.9262006887</v>
      </c>
      <c r="C126" s="1">
        <f t="shared" si="8"/>
        <v>42398860.345762067</v>
      </c>
      <c r="D126" s="1">
        <f t="shared" si="9"/>
        <v>34231125.439574786</v>
      </c>
      <c r="E126" s="1">
        <f t="shared" si="10"/>
        <v>56955972.224852212</v>
      </c>
      <c r="F126" s="1">
        <f t="shared" si="13"/>
        <v>13676200537.144255</v>
      </c>
    </row>
    <row r="127" spans="1:6" x14ac:dyDescent="0.35">
      <c r="A127" s="1">
        <f t="shared" si="11"/>
        <v>125000000</v>
      </c>
      <c r="B127">
        <f t="shared" si="7"/>
        <v>378341.62485106773</v>
      </c>
      <c r="C127" s="1">
        <f t="shared" si="8"/>
        <v>42888241.435120478</v>
      </c>
      <c r="D127" s="1">
        <f t="shared" si="9"/>
        <v>34904103.635138124</v>
      </c>
      <c r="E127" s="1">
        <f t="shared" si="10"/>
        <v>57911983.272611938</v>
      </c>
      <c r="F127" s="1">
        <f t="shared" si="13"/>
        <v>13682408752.805553</v>
      </c>
    </row>
    <row r="128" spans="1:6" x14ac:dyDescent="0.35">
      <c r="A128" s="1">
        <f t="shared" si="11"/>
        <v>126000000</v>
      </c>
      <c r="B128">
        <f t="shared" si="7"/>
        <v>380725.28116280329</v>
      </c>
      <c r="C128" s="1">
        <f t="shared" si="8"/>
        <v>43379304.118782923</v>
      </c>
      <c r="D128" s="1">
        <f t="shared" si="9"/>
        <v>35576588.236180171</v>
      </c>
      <c r="E128" s="1">
        <f t="shared" si="10"/>
        <v>58873153.102805004</v>
      </c>
      <c r="F128" s="1">
        <f t="shared" si="13"/>
        <v>13688476156.976913</v>
      </c>
    </row>
    <row r="129" spans="1:6" x14ac:dyDescent="0.35">
      <c r="A129" s="1">
        <f t="shared" si="11"/>
        <v>127000000</v>
      </c>
      <c r="B129">
        <f t="shared" si="7"/>
        <v>383104.93398109119</v>
      </c>
      <c r="C129" s="1">
        <f t="shared" si="8"/>
        <v>43872040.760118477</v>
      </c>
      <c r="D129" s="1">
        <f t="shared" si="9"/>
        <v>36248407.78388723</v>
      </c>
      <c r="E129" s="1">
        <f t="shared" si="10"/>
        <v>59839455.15321295</v>
      </c>
      <c r="F129" s="1">
        <f t="shared" si="13"/>
        <v>13694407865.908718</v>
      </c>
    </row>
    <row r="130" spans="1:6" x14ac:dyDescent="0.35">
      <c r="A130" s="1">
        <f t="shared" si="11"/>
        <v>128000000</v>
      </c>
      <c r="B130">
        <f t="shared" ref="B130:B193" si="14">$M$3*A130^$M$4</f>
        <v>385480.6214751458</v>
      </c>
      <c r="C130" s="1">
        <f t="shared" ref="C130:C193" si="15">$M$7*A130*B130^$M$8</f>
        <v>44366443.817137517</v>
      </c>
      <c r="D130" s="1">
        <f t="shared" ref="D130:D193" si="16">$M$1*A130*(A130/$M$10-1)*(1-A130/$M$2)-C130</f>
        <v>36919390.724804275</v>
      </c>
      <c r="E130" s="1">
        <f t="shared" ref="E130:E193" si="17">$M$5*C130-$M$6*B130</f>
        <v>60810863.220573992</v>
      </c>
      <c r="F130" s="1">
        <f t="shared" si="13"/>
        <v>13700208739.526424</v>
      </c>
    </row>
    <row r="131" spans="1:6" x14ac:dyDescent="0.35">
      <c r="A131" s="1">
        <f t="shared" ref="A131:A194" si="18">A130+1000000</f>
        <v>129000000</v>
      </c>
      <c r="B131">
        <f t="shared" si="14"/>
        <v>387852.38115516293</v>
      </c>
      <c r="C131" s="1">
        <f t="shared" si="15"/>
        <v>44862505.840588249</v>
      </c>
      <c r="D131" s="1">
        <f t="shared" si="16"/>
        <v>37589365.412738465</v>
      </c>
      <c r="E131" s="1">
        <f t="shared" si="17"/>
        <v>61787351.452848345</v>
      </c>
      <c r="F131" s="1">
        <f t="shared" si="13"/>
        <v>13705883397.834538</v>
      </c>
    </row>
    <row r="132" spans="1:6" x14ac:dyDescent="0.35">
      <c r="A132" s="1">
        <f t="shared" si="18"/>
        <v>130000000</v>
      </c>
      <c r="B132">
        <f t="shared" si="14"/>
        <v>390220.24988870014</v>
      </c>
      <c r="C132" s="1">
        <f t="shared" si="15"/>
        <v>45360219.472104132</v>
      </c>
      <c r="D132" s="1">
        <f t="shared" si="16"/>
        <v>38258160.110611707</v>
      </c>
      <c r="E132" s="1">
        <f t="shared" si="17"/>
        <v>62768894.341710038</v>
      </c>
      <c r="F132" s="1">
        <f t="shared" ref="F132:F195" si="19">F133+($M$9 *F133-E132)/D133*(A132-A133)</f>
        <v>13711436236.043531</v>
      </c>
    </row>
    <row r="133" spans="1:6" x14ac:dyDescent="0.35">
      <c r="A133" s="1">
        <f t="shared" si="18"/>
        <v>131000000</v>
      </c>
      <c r="B133">
        <f t="shared" si="14"/>
        <v>392584.26391655352</v>
      </c>
      <c r="C133" s="1">
        <f t="shared" si="15"/>
        <v>45859577.442404173</v>
      </c>
      <c r="D133" s="1">
        <f t="shared" si="16"/>
        <v>38925602.992260359</v>
      </c>
      <c r="E133" s="1">
        <f t="shared" si="17"/>
        <v>63755466.715258583</v>
      </c>
      <c r="F133" s="1">
        <f t="shared" si="19"/>
        <v>13716871438.536633</v>
      </c>
    </row>
    <row r="134" spans="1:6" x14ac:dyDescent="0.35">
      <c r="A134" s="1">
        <f t="shared" si="18"/>
        <v>132000000</v>
      </c>
      <c r="B134">
        <f t="shared" si="14"/>
        <v>394944.4588681056</v>
      </c>
      <c r="C134" s="1">
        <f t="shared" si="15"/>
        <v>46360572.569540709</v>
      </c>
      <c r="D134" s="1">
        <f t="shared" si="16"/>
        <v>39591522.144187465</v>
      </c>
      <c r="E134" s="1">
        <f t="shared" si="17"/>
        <v>64747043.730939761</v>
      </c>
      <c r="F134" s="1">
        <f t="shared" si="19"/>
        <v>13722192991.781115</v>
      </c>
    </row>
    <row r="135" spans="1:6" x14ac:dyDescent="0.35">
      <c r="A135" s="1">
        <f t="shared" si="18"/>
        <v>133000000</v>
      </c>
      <c r="B135">
        <f t="shared" si="14"/>
        <v>397300.86977619358</v>
      </c>
      <c r="C135" s="1">
        <f t="shared" si="15"/>
        <v>46863197.75719592</v>
      </c>
      <c r="D135" s="1">
        <f t="shared" si="16"/>
        <v>40255745.567266181</v>
      </c>
      <c r="E135" s="1">
        <f t="shared" si="17"/>
        <v>65743600.86867138</v>
      </c>
      <c r="F135" s="1">
        <f t="shared" si="19"/>
        <v>13727404696.277906</v>
      </c>
    </row>
    <row r="136" spans="1:6" x14ac:dyDescent="0.35">
      <c r="A136" s="1">
        <f t="shared" si="18"/>
        <v>134000000</v>
      </c>
      <c r="B136">
        <f t="shared" si="14"/>
        <v>399653.53109150397</v>
      </c>
      <c r="C136" s="1">
        <f t="shared" si="15"/>
        <v>47367445.993023328</v>
      </c>
      <c r="D136" s="1">
        <f t="shared" si="16"/>
        <v>40918101.178398378</v>
      </c>
      <c r="E136" s="1">
        <f t="shared" si="17"/>
        <v>66745113.924162887</v>
      </c>
      <c r="F136" s="1">
        <f t="shared" si="19"/>
        <v>13732510177.63378</v>
      </c>
    </row>
    <row r="137" spans="1:6" x14ac:dyDescent="0.35">
      <c r="A137" s="1">
        <f t="shared" si="18"/>
        <v>135000000</v>
      </c>
      <c r="B137">
        <f t="shared" si="14"/>
        <v>402002.47669651383</v>
      </c>
      <c r="C137" s="1">
        <f t="shared" si="15"/>
        <v>47873310.347034052</v>
      </c>
      <c r="D137" s="1">
        <f t="shared" si="16"/>
        <v>41578416.812128276</v>
      </c>
      <c r="E137" s="1">
        <f t="shared" si="17"/>
        <v>67751559.002425328</v>
      </c>
      <c r="F137" s="1">
        <f t="shared" si="19"/>
        <v>13737512896.831875</v>
      </c>
    </row>
    <row r="138" spans="1:6" x14ac:dyDescent="0.35">
      <c r="A138" s="1">
        <f t="shared" si="18"/>
        <v>136000000</v>
      </c>
      <c r="B138">
        <f t="shared" si="14"/>
        <v>404347.73991900199</v>
      </c>
      <c r="C138" s="1">
        <f t="shared" si="15"/>
        <v>48380783.970025688</v>
      </c>
      <c r="D138" s="1">
        <f t="shared" si="16"/>
        <v>42236520.222213656</v>
      </c>
      <c r="E138" s="1">
        <f t="shared" si="17"/>
        <v>68762912.511462063</v>
      </c>
      <c r="F138" s="1">
        <f t="shared" si="19"/>
        <v>13742416159.768864</v>
      </c>
    </row>
    <row r="139" spans="1:6" x14ac:dyDescent="0.35">
      <c r="A139" s="1">
        <f t="shared" si="18"/>
        <v>137000000</v>
      </c>
      <c r="B139">
        <f t="shared" si="14"/>
        <v>406689.35354513477</v>
      </c>
      <c r="C139" s="1">
        <f t="shared" si="15"/>
        <v>48889860.092052206</v>
      </c>
      <c r="D139" s="1">
        <f t="shared" si="16"/>
        <v>42892239.08315593</v>
      </c>
      <c r="E139" s="1">
        <f t="shared" si="17"/>
        <v>69779151.15613535</v>
      </c>
      <c r="F139" s="1">
        <f t="shared" si="19"/>
        <v>13747223126.12031</v>
      </c>
    </row>
    <row r="140" spans="1:6" x14ac:dyDescent="0.35">
      <c r="A140" s="1">
        <f t="shared" si="18"/>
        <v>138000000</v>
      </c>
      <c r="B140">
        <f t="shared" si="14"/>
        <v>409027.34983215929</v>
      </c>
      <c r="C140" s="1">
        <f t="shared" si="15"/>
        <v>49400532.020934574</v>
      </c>
      <c r="D140" s="1">
        <f t="shared" si="16"/>
        <v>43545400.991689496</v>
      </c>
      <c r="E140" s="1">
        <f t="shared" si="17"/>
        <v>70800251.932202995</v>
      </c>
      <c r="F140" s="1">
        <f t="shared" si="19"/>
        <v>13751936817.58993</v>
      </c>
    </row>
    <row r="141" spans="1:6" x14ac:dyDescent="0.35">
      <c r="A141" s="1">
        <f t="shared" si="18"/>
        <v>139000000</v>
      </c>
      <c r="B141">
        <f t="shared" si="14"/>
        <v>411361.76052070211</v>
      </c>
      <c r="C141" s="1">
        <f t="shared" si="15"/>
        <v>49912793.140809052</v>
      </c>
      <c r="D141" s="1">
        <f t="shared" si="16"/>
        <v>44195833.468233414</v>
      </c>
      <c r="E141" s="1">
        <f t="shared" si="17"/>
        <v>71826192.120517015</v>
      </c>
      <c r="F141" s="1">
        <f t="shared" si="19"/>
        <v>13756560125.593082</v>
      </c>
    </row>
    <row r="142" spans="1:6" x14ac:dyDescent="0.35">
      <c r="A142" s="1">
        <f t="shared" si="18"/>
        <v>140000000</v>
      </c>
      <c r="B142">
        <f t="shared" si="14"/>
        <v>413692.61684669345</v>
      </c>
      <c r="C142" s="1">
        <f t="shared" si="15"/>
        <v>50426636.910713278</v>
      </c>
      <c r="D142" s="1">
        <f t="shared" si="16"/>
        <v>44843363.958305441</v>
      </c>
      <c r="E142" s="1">
        <f t="shared" si="17"/>
        <v>72856949.281381756</v>
      </c>
      <c r="F142" s="1">
        <f t="shared" si="19"/>
        <v>13761095818.420164</v>
      </c>
    </row>
    <row r="143" spans="1:6" x14ac:dyDescent="0.35">
      <c r="A143" s="1">
        <f t="shared" si="18"/>
        <v>141000000</v>
      </c>
      <c r="B143">
        <f t="shared" si="14"/>
        <v>416019.94955294661</v>
      </c>
      <c r="C143" s="1">
        <f t="shared" si="15"/>
        <v>50942056.863209017</v>
      </c>
      <c r="D143" s="1">
        <f t="shared" si="16"/>
        <v>45487819.833899163</v>
      </c>
      <c r="E143" s="1">
        <f t="shared" si="17"/>
        <v>73892501.249063522</v>
      </c>
      <c r="F143" s="1">
        <f t="shared" si="19"/>
        <v>13765546547.921299</v>
      </c>
    </row>
    <row r="144" spans="1:6" x14ac:dyDescent="0.35">
      <c r="A144" s="1">
        <f t="shared" si="18"/>
        <v>142000000</v>
      </c>
      <c r="B144">
        <f t="shared" si="14"/>
        <v>418343.78890037246</v>
      </c>
      <c r="C144" s="1">
        <f t="shared" si="15"/>
        <v>51459046.603038535</v>
      </c>
      <c r="D144" s="1">
        <f t="shared" si="16"/>
        <v>46129028.394827709</v>
      </c>
      <c r="E144" s="1">
        <f t="shared" si="17"/>
        <v>74932826.126447082</v>
      </c>
      <c r="F144" s="1">
        <f t="shared" si="19"/>
        <v>13769914855.749966</v>
      </c>
    </row>
    <row r="145" spans="1:6" x14ac:dyDescent="0.35">
      <c r="A145" s="1">
        <f t="shared" si="18"/>
        <v>143000000</v>
      </c>
      <c r="B145">
        <f t="shared" si="14"/>
        <v>420664.16467888013</v>
      </c>
      <c r="C145" s="1">
        <f t="shared" si="15"/>
        <v>51977599.805816233</v>
      </c>
      <c r="D145" s="1">
        <f t="shared" si="16"/>
        <v>46766816.870032012</v>
      </c>
      <c r="E145" s="1">
        <f t="shared" si="17"/>
        <v>75977902.279835165</v>
      </c>
      <c r="F145" s="1">
        <f t="shared" si="19"/>
        <v>13774203179.199793</v>
      </c>
    </row>
    <row r="146" spans="1:6" x14ac:dyDescent="0.35">
      <c r="A146" s="1">
        <f t="shared" si="18"/>
        <v>144000000</v>
      </c>
      <c r="B146">
        <f t="shared" si="14"/>
        <v>422981.10621794162</v>
      </c>
      <c r="C146" s="1">
        <f t="shared" si="15"/>
        <v>52497710.216751955</v>
      </c>
      <c r="D146" s="1">
        <f t="shared" si="16"/>
        <v>47401012.418857642</v>
      </c>
      <c r="E146" s="1">
        <f t="shared" si="17"/>
        <v>77027708.333885223</v>
      </c>
      <c r="F146" s="1">
        <f t="shared" si="19"/>
        <v>13778413856.665705</v>
      </c>
    </row>
    <row r="147" spans="1:6" x14ac:dyDescent="0.35">
      <c r="A147" s="1">
        <f t="shared" si="18"/>
        <v>145000000</v>
      </c>
      <c r="B147">
        <f t="shared" si="14"/>
        <v>425294.64239686017</v>
      </c>
      <c r="C147" s="1">
        <f t="shared" si="15"/>
        <v>53019371.649406798</v>
      </c>
      <c r="D147" s="1">
        <f t="shared" si="16"/>
        <v>48031442.13229882</v>
      </c>
      <c r="E147" s="1">
        <f t="shared" si="17"/>
        <v>78082223.166678771</v>
      </c>
      <c r="F147" s="1">
        <f t="shared" si="19"/>
        <v>13782549132.757856</v>
      </c>
    </row>
    <row r="148" spans="1:6" x14ac:dyDescent="0.35">
      <c r="A148" s="1">
        <f t="shared" si="18"/>
        <v>146000000</v>
      </c>
      <c r="B148">
        <f t="shared" si="14"/>
        <v>427604.80165472801</v>
      </c>
      <c r="C148" s="1">
        <f t="shared" si="15"/>
        <v>53542577.984478772</v>
      </c>
      <c r="D148" s="1">
        <f t="shared" si="16"/>
        <v>48657933.034212857</v>
      </c>
      <c r="E148" s="1">
        <f t="shared" si="17"/>
        <v>79141425.904919297</v>
      </c>
      <c r="F148" s="1">
        <f t="shared" si="19"/>
        <v>13786611163.094334</v>
      </c>
    </row>
    <row r="149" spans="1:6" x14ac:dyDescent="0.35">
      <c r="A149" s="1">
        <f t="shared" si="18"/>
        <v>147000000</v>
      </c>
      <c r="B149">
        <f t="shared" si="14"/>
        <v>429911.61200010864</v>
      </c>
      <c r="C149" s="1">
        <f t="shared" si="15"/>
        <v>54067323.168619081</v>
      </c>
      <c r="D149" s="1">
        <f t="shared" si="16"/>
        <v>49280312.082504064</v>
      </c>
      <c r="E149" s="1">
        <f t="shared" si="17"/>
        <v>80205295.919254914</v>
      </c>
      <c r="F149" s="1">
        <f t="shared" si="19"/>
        <v>13790602018.796337</v>
      </c>
    </row>
    <row r="150" spans="1:6" x14ac:dyDescent="0.35">
      <c r="A150" s="1">
        <f t="shared" si="18"/>
        <v>148000000</v>
      </c>
      <c r="B150">
        <f t="shared" si="14"/>
        <v>432215.1010204358</v>
      </c>
      <c r="C150" s="1">
        <f t="shared" si="15"/>
        <v>54593601.213276468</v>
      </c>
      <c r="D150" s="1">
        <f t="shared" si="16"/>
        <v>49898406.170278899</v>
      </c>
      <c r="E150" s="1">
        <f t="shared" si="17"/>
        <v>81273812.819719806</v>
      </c>
      <c r="F150" s="1">
        <f t="shared" si="19"/>
        <v>13794523690.707603</v>
      </c>
    </row>
    <row r="151" spans="1:6" x14ac:dyDescent="0.35">
      <c r="A151" s="1">
        <f t="shared" si="18"/>
        <v>149000000</v>
      </c>
      <c r="B151">
        <f t="shared" si="14"/>
        <v>434515.29589114484</v>
      </c>
      <c r="C151" s="1">
        <f t="shared" si="15"/>
        <v>55121406.193570122</v>
      </c>
      <c r="D151" s="1">
        <f t="shared" si="16"/>
        <v>50512042.126973659</v>
      </c>
      <c r="E151" s="1">
        <f t="shared" si="17"/>
        <v>82346956.451294184</v>
      </c>
      <c r="F151" s="1">
        <f t="shared" si="19"/>
        <v>13798378093.357927</v>
      </c>
    </row>
    <row r="152" spans="1:6" x14ac:dyDescent="0.35">
      <c r="A152" s="1">
        <f t="shared" si="18"/>
        <v>150000000</v>
      </c>
      <c r="B152">
        <f t="shared" si="14"/>
        <v>436812.22338455182</v>
      </c>
      <c r="C152" s="1">
        <f t="shared" si="15"/>
        <v>55650732.247189231</v>
      </c>
      <c r="D152" s="1">
        <f t="shared" si="16"/>
        <v>51121046.719454415</v>
      </c>
      <c r="E152" s="1">
        <f t="shared" si="17"/>
        <v>83424706.889574528</v>
      </c>
      <c r="F152" s="1">
        <f t="shared" si="19"/>
        <v>13802167068.689075</v>
      </c>
    </row>
    <row r="153" spans="1:6" x14ac:dyDescent="0.35">
      <c r="A153" s="1">
        <f t="shared" si="18"/>
        <v>151000000</v>
      </c>
      <c r="B153">
        <f t="shared" si="14"/>
        <v>439105.90987847088</v>
      </c>
      <c r="C153" s="1">
        <f t="shared" si="15"/>
        <v>56181573.573318399</v>
      </c>
      <c r="D153" s="1">
        <f t="shared" si="16"/>
        <v>51725246.653092034</v>
      </c>
      <c r="E153" s="1">
        <f t="shared" si="17"/>
        <v>84507044.436553642</v>
      </c>
      <c r="F153" s="1">
        <f t="shared" si="19"/>
        <v>13805892389.559828</v>
      </c>
    </row>
    <row r="154" spans="1:6" x14ac:dyDescent="0.35">
      <c r="A154" s="1">
        <f t="shared" si="18"/>
        <v>152000000</v>
      </c>
      <c r="B154">
        <f t="shared" si="14"/>
        <v>441396.38136460917</v>
      </c>
      <c r="C154" s="1">
        <f t="shared" si="15"/>
        <v>56713924.431589849</v>
      </c>
      <c r="D154" s="1">
        <f t="shared" si="16"/>
        <v>52324468.572809555</v>
      </c>
      <c r="E154" s="1">
        <f t="shared" si="17"/>
        <v>85593949.616507396</v>
      </c>
      <c r="F154" s="1">
        <f t="shared" si="19"/>
        <v>13809555763.045555</v>
      </c>
    </row>
    <row r="155" spans="1:6" x14ac:dyDescent="0.35">
      <c r="A155" s="1">
        <f t="shared" si="18"/>
        <v>153000000</v>
      </c>
      <c r="B155">
        <f t="shared" si="14"/>
        <v>443683.66345671518</v>
      </c>
      <c r="C155" s="1">
        <f t="shared" si="15"/>
        <v>57247779.141058855</v>
      </c>
      <c r="D155" s="1">
        <f t="shared" si="16"/>
        <v>52918539.064107142</v>
      </c>
      <c r="E155" s="1">
        <f t="shared" si="17"/>
        <v>86685403.171981484</v>
      </c>
      <c r="F155" s="1">
        <f t="shared" si="19"/>
        <v>13813158833.54649</v>
      </c>
    </row>
    <row r="156" spans="1:6" x14ac:dyDescent="0.35">
      <c r="A156" s="1">
        <f t="shared" si="18"/>
        <v>154000000</v>
      </c>
      <c r="B156">
        <f t="shared" si="14"/>
        <v>445967.78139850631</v>
      </c>
      <c r="C156" s="1">
        <f t="shared" si="15"/>
        <v>57783132.079203598</v>
      </c>
      <c r="D156" s="1">
        <f t="shared" si="16"/>
        <v>53507284.654061981</v>
      </c>
      <c r="E156" s="1">
        <f t="shared" si="17"/>
        <v>87781386.05987826</v>
      </c>
      <c r="F156" s="1">
        <f t="shared" si="19"/>
        <v>13816703185.71776</v>
      </c>
    </row>
    <row r="157" spans="1:6" x14ac:dyDescent="0.35">
      <c r="A157" s="1">
        <f t="shared" si="18"/>
        <v>155000000</v>
      </c>
      <c r="B157">
        <f t="shared" si="14"/>
        <v>448248.76007138402</v>
      </c>
      <c r="C157" s="1">
        <f t="shared" si="15"/>
        <v>58319977.68094866</v>
      </c>
      <c r="D157" s="1">
        <f t="shared" si="16"/>
        <v>54090531.81230481</v>
      </c>
      <c r="E157" s="1">
        <f t="shared" si="17"/>
        <v>88881879.447639629</v>
      </c>
      <c r="F157" s="1">
        <f t="shared" si="19"/>
        <v>13820190347.233187</v>
      </c>
    </row>
    <row r="158" spans="1:6" x14ac:dyDescent="0.35">
      <c r="A158" s="1">
        <f t="shared" si="18"/>
        <v>156000000</v>
      </c>
      <c r="B158">
        <f t="shared" si="14"/>
        <v>450526.62400193606</v>
      </c>
      <c r="C158" s="1">
        <f t="shared" si="15"/>
        <v>58858310.437710665</v>
      </c>
      <c r="D158" s="1">
        <f t="shared" si="16"/>
        <v>54668106.951974399</v>
      </c>
      <c r="E158" s="1">
        <f t="shared" si="17"/>
        <v>89986864.70952259</v>
      </c>
      <c r="F158" s="1">
        <f t="shared" si="19"/>
        <v>13823621791.393948</v>
      </c>
    </row>
    <row r="159" spans="1:6" x14ac:dyDescent="0.35">
      <c r="A159" s="1">
        <f t="shared" si="18"/>
        <v>157000000</v>
      </c>
      <c r="B159">
        <f t="shared" si="14"/>
        <v>452801.39736923564</v>
      </c>
      <c r="C159" s="1">
        <f t="shared" si="15"/>
        <v>59398124.896465704</v>
      </c>
      <c r="D159" s="1">
        <f t="shared" si="16"/>
        <v>55239836.430649981</v>
      </c>
      <c r="E159" s="1">
        <f t="shared" si="17"/>
        <v>91096323.422964349</v>
      </c>
      <c r="F159" s="1">
        <f t="shared" si="19"/>
        <v>13826998939.59236</v>
      </c>
    </row>
    <row r="160" spans="1:6" x14ac:dyDescent="0.35">
      <c r="A160" s="1">
        <f t="shared" si="18"/>
        <v>158000000</v>
      </c>
      <c r="B160">
        <f t="shared" si="14"/>
        <v>455073.10401194671</v>
      </c>
      <c r="C160" s="1">
        <f t="shared" si="15"/>
        <v>59939415.65883828</v>
      </c>
      <c r="D160" s="1">
        <f t="shared" si="16"/>
        <v>55805546.55126252</v>
      </c>
      <c r="E160" s="1">
        <f t="shared" si="17"/>
        <v>92210237.365035519</v>
      </c>
      <c r="F160" s="1">
        <f t="shared" si="19"/>
        <v>13830323163.640223</v>
      </c>
    </row>
    <row r="161" spans="1:6" x14ac:dyDescent="0.35">
      <c r="A161" s="1">
        <f t="shared" si="18"/>
        <v>159000000</v>
      </c>
      <c r="B161">
        <f t="shared" si="14"/>
        <v>457341.76743524009</v>
      </c>
      <c r="C161" s="1">
        <f t="shared" si="15"/>
        <v>60482177.38021066</v>
      </c>
      <c r="D161" s="1">
        <f t="shared" si="16"/>
        <v>56365063.56298501</v>
      </c>
      <c r="E161" s="1">
        <f t="shared" si="17"/>
        <v>93328588.50897707</v>
      </c>
      <c r="F161" s="1">
        <f t="shared" si="19"/>
        <v>13833595787.970509</v>
      </c>
    </row>
    <row r="162" spans="1:6" x14ac:dyDescent="0.35">
      <c r="A162" s="1">
        <f t="shared" si="18"/>
        <v>160000000</v>
      </c>
      <c r="B162">
        <f t="shared" si="14"/>
        <v>459607.41081752296</v>
      </c>
      <c r="C162" s="1">
        <f t="shared" si="15"/>
        <v>61026404.768852428</v>
      </c>
      <c r="D162" s="1">
        <f t="shared" si="16"/>
        <v>56918213.66210328</v>
      </c>
      <c r="E162" s="1">
        <f t="shared" si="17"/>
        <v>94451359.020820573</v>
      </c>
      <c r="F162" s="1">
        <f t="shared" si="19"/>
        <v>13836818091.720486</v>
      </c>
    </row>
    <row r="163" spans="1:6" x14ac:dyDescent="0.35">
      <c r="A163" s="1">
        <f t="shared" si="18"/>
        <v>161000000</v>
      </c>
      <c r="B163">
        <f t="shared" si="14"/>
        <v>461870.05701699737</v>
      </c>
      <c r="C163" s="1">
        <f t="shared" si="15"/>
        <v>61572092.585069448</v>
      </c>
      <c r="D163" s="1">
        <f t="shared" si="16"/>
        <v>57464822.992866784</v>
      </c>
      <c r="E163" s="1">
        <f t="shared" si="17"/>
        <v>95578531.256086916</v>
      </c>
      <c r="F163" s="1">
        <f t="shared" si="19"/>
        <v>13839991310.703791</v>
      </c>
    </row>
    <row r="164" spans="1:6" x14ac:dyDescent="0.35">
      <c r="A164" s="1">
        <f t="shared" si="18"/>
        <v>162000000</v>
      </c>
      <c r="B164">
        <f t="shared" si="14"/>
        <v>464129.72857804003</v>
      </c>
      <c r="C164" s="1">
        <f t="shared" si="15"/>
        <v>62119235.640371308</v>
      </c>
      <c r="D164" s="1">
        <f t="shared" si="16"/>
        <v>58004717.64832136</v>
      </c>
      <c r="E164" s="1">
        <f t="shared" si="17"/>
        <v>96710087.756562412</v>
      </c>
      <c r="F164" s="1">
        <f t="shared" si="19"/>
        <v>13843116639.278418</v>
      </c>
    </row>
    <row r="165" spans="1:6" x14ac:dyDescent="0.35">
      <c r="A165" s="1">
        <f t="shared" si="18"/>
        <v>163000000</v>
      </c>
      <c r="B165">
        <f t="shared" si="14"/>
        <v>466386.4477374283</v>
      </c>
      <c r="C165" s="1">
        <f t="shared" si="15"/>
        <v>62667828.796658486</v>
      </c>
      <c r="D165" s="1">
        <f t="shared" si="16"/>
        <v>58537723.671121866</v>
      </c>
      <c r="E165" s="1">
        <f t="shared" si="17"/>
        <v>97846011.247151405</v>
      </c>
      <c r="F165" s="1">
        <f t="shared" si="19"/>
        <v>13846195232.117085</v>
      </c>
    </row>
    <row r="166" spans="1:6" x14ac:dyDescent="0.35">
      <c r="A166" s="1">
        <f t="shared" si="18"/>
        <v>164000000</v>
      </c>
      <c r="B166">
        <f t="shared" si="14"/>
        <v>468640.23643038591</v>
      </c>
      <c r="C166" s="1">
        <f t="shared" si="15"/>
        <v>63217866.965425171</v>
      </c>
      <c r="D166" s="1">
        <f t="shared" si="16"/>
        <v>59063667.054329492</v>
      </c>
      <c r="E166" s="1">
        <f t="shared" si="17"/>
        <v>98986284.63279894</v>
      </c>
      <c r="F166" s="1">
        <f t="shared" si="19"/>
        <v>13849228205.885981</v>
      </c>
    </row>
    <row r="167" spans="1:6" x14ac:dyDescent="0.35">
      <c r="A167" s="1">
        <f t="shared" si="18"/>
        <v>165000000</v>
      </c>
      <c r="B167">
        <f t="shared" si="14"/>
        <v>470891.1162964924</v>
      </c>
      <c r="C167" s="1">
        <f t="shared" si="15"/>
        <v>63769345.106981397</v>
      </c>
      <c r="D167" s="1">
        <f t="shared" si="16"/>
        <v>59582373.742189556</v>
      </c>
      <c r="E167" s="1">
        <f t="shared" si="17"/>
        <v>100130890.99548644</v>
      </c>
      <c r="F167" s="1">
        <f t="shared" si="19"/>
        <v>13852216640.837471</v>
      </c>
    </row>
    <row r="168" spans="1:6" x14ac:dyDescent="0.35">
      <c r="A168" s="1">
        <f t="shared" si="18"/>
        <v>166000000</v>
      </c>
      <c r="B168">
        <f t="shared" si="14"/>
        <v>473139.10868543829</v>
      </c>
      <c r="C168" s="1">
        <f t="shared" si="15"/>
        <v>64322258.229691677</v>
      </c>
      <c r="D168" s="1">
        <f t="shared" si="16"/>
        <v>60093669.630892895</v>
      </c>
      <c r="E168" s="1">
        <f t="shared" si="17"/>
        <v>101279813.5912955</v>
      </c>
      <c r="F168" s="1">
        <f t="shared" si="19"/>
        <v>13855161582.321957</v>
      </c>
    </row>
    <row r="169" spans="1:6" x14ac:dyDescent="0.35">
      <c r="A169" s="1">
        <f t="shared" si="18"/>
        <v>167000000</v>
      </c>
      <c r="B169">
        <f t="shared" si="14"/>
        <v>475384.23466261756</v>
      </c>
      <c r="C169" s="1">
        <f t="shared" si="15"/>
        <v>64876601.389228702</v>
      </c>
      <c r="D169" s="1">
        <f t="shared" si="16"/>
        <v>60597380.569322184</v>
      </c>
      <c r="E169" s="1">
        <f t="shared" si="17"/>
        <v>102433035.84753701</v>
      </c>
      <c r="F169" s="1">
        <f t="shared" si="19"/>
        <v>13858064042.223701</v>
      </c>
    </row>
    <row r="170" spans="1:6" x14ac:dyDescent="0.35">
      <c r="A170" s="1">
        <f t="shared" si="18"/>
        <v>168000000</v>
      </c>
      <c r="B170">
        <f t="shared" si="14"/>
        <v>477626.51501460263</v>
      </c>
      <c r="C170" s="1">
        <f t="shared" si="15"/>
        <v>65432369.687844515</v>
      </c>
      <c r="D170" s="1">
        <f t="shared" si="16"/>
        <v>61093332.359780818</v>
      </c>
      <c r="E170" s="1">
        <f t="shared" si="17"/>
        <v>103590541.35994598</v>
      </c>
      <c r="F170" s="1">
        <f t="shared" si="19"/>
        <v>13860925000.325146</v>
      </c>
    </row>
    <row r="171" spans="1:6" x14ac:dyDescent="0.35">
      <c r="A171" s="1">
        <f t="shared" si="18"/>
        <v>169000000</v>
      </c>
      <c r="B171">
        <f t="shared" si="14"/>
        <v>479865.97025446972</v>
      </c>
      <c r="C171" s="1">
        <f t="shared" si="15"/>
        <v>65989558.273657151</v>
      </c>
      <c r="D171" s="1">
        <f t="shared" si="16"/>
        <v>61581350.758706041</v>
      </c>
      <c r="E171" s="1">
        <f t="shared" si="17"/>
        <v>104752313.88994044</v>
      </c>
      <c r="F171" s="1">
        <f t="shared" si="19"/>
        <v>13863745405.603891</v>
      </c>
    </row>
    <row r="172" spans="1:6" x14ac:dyDescent="0.35">
      <c r="A172" s="1">
        <f t="shared" si="18"/>
        <v>170000000</v>
      </c>
      <c r="B172">
        <f t="shared" si="14"/>
        <v>482102.62062699202</v>
      </c>
      <c r="C172" s="1">
        <f t="shared" si="15"/>
        <v>66548162.339951217</v>
      </c>
      <c r="D172" s="1">
        <f t="shared" si="16"/>
        <v>62061261.477368668</v>
      </c>
      <c r="E172" s="1">
        <f t="shared" si="17"/>
        <v>105918337.36193851</v>
      </c>
      <c r="F172" s="1">
        <f t="shared" si="19"/>
        <v>13866526177.466261</v>
      </c>
    </row>
    <row r="173" spans="1:6" x14ac:dyDescent="0.35">
      <c r="A173" s="1">
        <f t="shared" si="18"/>
        <v>171000000</v>
      </c>
      <c r="B173">
        <f t="shared" si="14"/>
        <v>484336.48611370358</v>
      </c>
      <c r="C173" s="1">
        <f t="shared" si="15"/>
        <v>67108177.124493934</v>
      </c>
      <c r="D173" s="1">
        <f t="shared" si="16"/>
        <v>62532890.182556756</v>
      </c>
      <c r="E173" s="1">
        <f t="shared" si="17"/>
        <v>107088595.86073698</v>
      </c>
      <c r="F173" s="1">
        <f t="shared" si="19"/>
        <v>13869268206.921095</v>
      </c>
    </row>
    <row r="174" spans="1:6" x14ac:dyDescent="0.35">
      <c r="A174" s="1">
        <f t="shared" si="18"/>
        <v>172000000</v>
      </c>
      <c r="B174">
        <f t="shared" si="14"/>
        <v>486567.58643784502</v>
      </c>
      <c r="C174" s="1">
        <f t="shared" si="15"/>
        <v>67669597.908865869</v>
      </c>
      <c r="D174" s="1">
        <f t="shared" si="16"/>
        <v>62996062.497245193</v>
      </c>
      <c r="E174" s="1">
        <f t="shared" si="17"/>
        <v>108263073.62894757</v>
      </c>
      <c r="F174" s="1">
        <f t="shared" si="19"/>
        <v>13871972357.697195</v>
      </c>
    </row>
    <row r="175" spans="1:6" x14ac:dyDescent="0.35">
      <c r="A175" s="1">
        <f t="shared" si="18"/>
        <v>173000000</v>
      </c>
      <c r="B175">
        <f t="shared" si="14"/>
        <v>488795.94106918306</v>
      </c>
      <c r="C175" s="1">
        <f t="shared" si="15"/>
        <v>68232420.017804995</v>
      </c>
      <c r="D175" s="1">
        <f t="shared" si="16"/>
        <v>63450604.00125134</v>
      </c>
      <c r="E175" s="1">
        <f t="shared" si="17"/>
        <v>109441755.06448849</v>
      </c>
      <c r="F175" s="1">
        <f t="shared" si="19"/>
        <v>13874639467.307592</v>
      </c>
    </row>
    <row r="176" spans="1:6" x14ac:dyDescent="0.35">
      <c r="A176" s="1">
        <f t="shared" si="18"/>
        <v>174000000</v>
      </c>
      <c r="B176">
        <f t="shared" si="14"/>
        <v>491021.56922870781</v>
      </c>
      <c r="C176" s="1">
        <f t="shared" si="15"/>
        <v>68796638.818563983</v>
      </c>
      <c r="D176" s="1">
        <f t="shared" si="16"/>
        <v>63896340.231877893</v>
      </c>
      <c r="E176" s="1">
        <f t="shared" si="17"/>
        <v>110624624.71813047</v>
      </c>
      <c r="F176" s="1">
        <f t="shared" si="19"/>
        <v>13877270348.063622</v>
      </c>
    </row>
    <row r="177" spans="1:6" x14ac:dyDescent="0.35">
      <c r="A177" s="1">
        <f t="shared" si="18"/>
        <v>175000000</v>
      </c>
      <c r="B177">
        <f t="shared" si="14"/>
        <v>493244.48989323108</v>
      </c>
      <c r="C177" s="1">
        <f t="shared" si="15"/>
        <v>69362249.720281765</v>
      </c>
      <c r="D177" s="1">
        <f t="shared" si="16"/>
        <v>64333096.6845413</v>
      </c>
      <c r="E177" s="1">
        <f t="shared" si="17"/>
        <v>111811667.29109643</v>
      </c>
      <c r="F177" s="1">
        <f t="shared" si="19"/>
        <v>13879865788.041607</v>
      </c>
    </row>
    <row r="178" spans="1:6" x14ac:dyDescent="0.35">
      <c r="A178" s="1">
        <f t="shared" si="18"/>
        <v>176000000</v>
      </c>
      <c r="B178">
        <f t="shared" si="14"/>
        <v>495464.72179985797</v>
      </c>
      <c r="C178" s="1">
        <f t="shared" si="15"/>
        <v>69929248.173366979</v>
      </c>
      <c r="D178" s="1">
        <f t="shared" si="16"/>
        <v>64760698.813388243</v>
      </c>
      <c r="E178" s="1">
        <f t="shared" si="17"/>
        <v>113002867.63271259</v>
      </c>
      <c r="F178" s="1">
        <f t="shared" si="19"/>
        <v>13882426552.004745</v>
      </c>
    </row>
    <row r="179" spans="1:6" x14ac:dyDescent="0.35">
      <c r="A179" s="1">
        <f t="shared" si="18"/>
        <v>177000000</v>
      </c>
      <c r="B179">
        <f t="shared" si="14"/>
        <v>497682.28345036402</v>
      </c>
      <c r="C179" s="1">
        <f t="shared" si="15"/>
        <v>70497629.668894678</v>
      </c>
      <c r="D179" s="1">
        <f t="shared" si="16"/>
        <v>65178972.031899095</v>
      </c>
      <c r="E179" s="1">
        <f t="shared" si="17"/>
        <v>114198210.73810996</v>
      </c>
      <c r="F179" s="1">
        <f t="shared" si="19"/>
        <v>13884953382.28265</v>
      </c>
    </row>
    <row r="180" spans="1:6" x14ac:dyDescent="0.35">
      <c r="A180" s="1">
        <f t="shared" si="18"/>
        <v>178000000</v>
      </c>
      <c r="B180">
        <f t="shared" si="14"/>
        <v>499897.19311545679</v>
      </c>
      <c r="C180" s="1">
        <f t="shared" si="15"/>
        <v>71067389.738014206</v>
      </c>
      <c r="D180" s="1">
        <f t="shared" si="16"/>
        <v>65587741.713479802</v>
      </c>
      <c r="E180" s="1">
        <f t="shared" si="17"/>
        <v>115397681.74597347</v>
      </c>
      <c r="F180" s="1">
        <f t="shared" si="19"/>
        <v>13887446999.610847</v>
      </c>
    </row>
    <row r="181" spans="1:6" x14ac:dyDescent="0.35">
      <c r="A181" s="1">
        <f t="shared" si="18"/>
        <v>179000000</v>
      </c>
      <c r="B181">
        <f t="shared" si="14"/>
        <v>502109.46883894998</v>
      </c>
      <c r="C181" s="1">
        <f t="shared" si="15"/>
        <v>71638523.951370284</v>
      </c>
      <c r="D181" s="1">
        <f t="shared" si="16"/>
        <v>65986833.192041084</v>
      </c>
      <c r="E181" s="1">
        <f t="shared" si="17"/>
        <v>116601265.93634042</v>
      </c>
      <c r="F181" s="1">
        <f t="shared" si="19"/>
        <v>13889908103.932373</v>
      </c>
    </row>
    <row r="182" spans="1:6" x14ac:dyDescent="0.35">
      <c r="A182" s="1">
        <f t="shared" si="18"/>
        <v>180000000</v>
      </c>
      <c r="B182">
        <f t="shared" si="14"/>
        <v>504319.12844182813</v>
      </c>
      <c r="C182" s="1">
        <f t="shared" si="15"/>
        <v>72211027.91853483</v>
      </c>
      <c r="D182" s="1">
        <f t="shared" si="16"/>
        <v>66376071.762566343</v>
      </c>
      <c r="E182" s="1">
        <f t="shared" si="17"/>
        <v>117808948.72844434</v>
      </c>
      <c r="F182" s="1">
        <f t="shared" si="19"/>
        <v>13892337375.163483</v>
      </c>
    </row>
    <row r="183" spans="1:6" x14ac:dyDescent="0.35">
      <c r="A183" s="1">
        <f t="shared" si="18"/>
        <v>181000000</v>
      </c>
      <c r="B183">
        <f t="shared" si="14"/>
        <v>506526.18952621869</v>
      </c>
      <c r="C183" s="1">
        <f t="shared" si="15"/>
        <v>72784897.287449673</v>
      </c>
      <c r="D183" s="1">
        <f t="shared" si="16"/>
        <v>66755282.681669101</v>
      </c>
      <c r="E183" s="1">
        <f t="shared" si="17"/>
        <v>119020715.67860268</v>
      </c>
      <c r="F183" s="1">
        <f t="shared" si="19"/>
        <v>13894735473.925396</v>
      </c>
    </row>
    <row r="184" spans="1:6" x14ac:dyDescent="0.35">
      <c r="A184" s="1">
        <f t="shared" si="18"/>
        <v>182000000</v>
      </c>
      <c r="B184">
        <f t="shared" si="14"/>
        <v>508730.66947927681</v>
      </c>
      <c r="C184" s="1">
        <f t="shared" si="15"/>
        <v>73360127.743881598</v>
      </c>
      <c r="D184" s="1">
        <f t="shared" si="16"/>
        <v>67124291.168138012</v>
      </c>
      <c r="E184" s="1">
        <f t="shared" si="17"/>
        <v>120236552.47815096</v>
      </c>
      <c r="F184" s="1">
        <f t="shared" si="19"/>
        <v>13897103042.243818</v>
      </c>
    </row>
    <row r="185" spans="1:6" x14ac:dyDescent="0.35">
      <c r="A185" s="1">
        <f t="shared" si="18"/>
        <v>183000000</v>
      </c>
      <c r="B185">
        <f t="shared" si="14"/>
        <v>510932.58547697822</v>
      </c>
      <c r="C185" s="1">
        <f t="shared" si="15"/>
        <v>73936715.010887042</v>
      </c>
      <c r="D185" s="1">
        <f t="shared" si="16"/>
        <v>67482922.403471962</v>
      </c>
      <c r="E185" s="1">
        <f t="shared" si="17"/>
        <v>121456444.95141734</v>
      </c>
      <c r="F185" s="1">
        <f t="shared" si="19"/>
        <v>13899440704.217955</v>
      </c>
    </row>
    <row r="186" spans="1:6" x14ac:dyDescent="0.35">
      <c r="A186" s="1">
        <f t="shared" si="18"/>
        <v>184000000</v>
      </c>
      <c r="B186">
        <f t="shared" si="14"/>
        <v>513131.95448781806</v>
      </c>
      <c r="C186" s="1">
        <f t="shared" si="15"/>
        <v>74514654.84828724</v>
      </c>
      <c r="D186" s="1">
        <f t="shared" si="16"/>
        <v>67831001.532405034</v>
      </c>
      <c r="E186" s="1">
        <f t="shared" si="17"/>
        <v>122680379.05373941</v>
      </c>
      <c r="F186" s="1">
        <f t="shared" si="19"/>
        <v>13901749066.660561</v>
      </c>
    </row>
    <row r="187" spans="1:6" x14ac:dyDescent="0.35">
      <c r="A187" s="1">
        <f t="shared" si="18"/>
        <v>185000000</v>
      </c>
      <c r="B187">
        <f t="shared" si="14"/>
        <v>515328.79327643279</v>
      </c>
      <c r="C187" s="1">
        <f t="shared" si="15"/>
        <v>75093943.052154198</v>
      </c>
      <c r="D187" s="1">
        <f t="shared" si="16"/>
        <v>68168353.663420662</v>
      </c>
      <c r="E187" s="1">
        <f t="shared" si="17"/>
        <v>123908340.86952214</v>
      </c>
      <c r="F187" s="1">
        <f t="shared" si="19"/>
        <v>13904028719.710533</v>
      </c>
    </row>
    <row r="188" spans="1:6" x14ac:dyDescent="0.35">
      <c r="A188" s="1">
        <f t="shared" si="18"/>
        <v>186000000</v>
      </c>
      <c r="B188">
        <f t="shared" si="14"/>
        <v>517523.11840714235</v>
      </c>
      <c r="C188" s="1">
        <f t="shared" si="15"/>
        <v>75674575.454306185</v>
      </c>
      <c r="D188" s="1">
        <f t="shared" si="16"/>
        <v>68494803.869255871</v>
      </c>
      <c r="E188" s="1">
        <f t="shared" si="17"/>
        <v>125140316.61033395</v>
      </c>
      <c r="F188" s="1">
        <f t="shared" si="19"/>
        <v>13906280237.419428</v>
      </c>
    </row>
    <row r="189" spans="1:6" x14ac:dyDescent="0.35">
      <c r="A189" s="1">
        <f t="shared" si="18"/>
        <v>187000000</v>
      </c>
      <c r="B189">
        <f t="shared" si="14"/>
        <v>519714.94624739967</v>
      </c>
      <c r="C189" s="1">
        <f t="shared" si="15"/>
        <v>76256547.921813175</v>
      </c>
      <c r="D189" s="1">
        <f t="shared" si="16"/>
        <v>68810177.187396124</v>
      </c>
      <c r="E189" s="1">
        <f t="shared" si="17"/>
        <v>126376292.61304346</v>
      </c>
      <c r="F189" s="1">
        <f t="shared" si="19"/>
        <v>13908504178.313217</v>
      </c>
    </row>
    <row r="190" spans="1:6" x14ac:dyDescent="0.35">
      <c r="A190" s="1">
        <f t="shared" si="18"/>
        <v>188000000</v>
      </c>
      <c r="B190">
        <f t="shared" si="14"/>
        <v>521904.29297117313</v>
      </c>
      <c r="C190" s="1">
        <f t="shared" si="15"/>
        <v>76839856.356511027</v>
      </c>
      <c r="D190" s="1">
        <f t="shared" si="16"/>
        <v>69114298.620560855</v>
      </c>
      <c r="E190" s="1">
        <f t="shared" si="17"/>
        <v>127616255.33799028</v>
      </c>
      <c r="F190" s="1">
        <f t="shared" si="19"/>
        <v>13910701085.930542</v>
      </c>
    </row>
    <row r="191" spans="1:6" x14ac:dyDescent="0.35">
      <c r="A191" s="1">
        <f t="shared" si="18"/>
        <v>189000000</v>
      </c>
      <c r="B191">
        <f t="shared" si="14"/>
        <v>524091.17456225428</v>
      </c>
      <c r="C191" s="1">
        <f t="shared" si="15"/>
        <v>77424496.694526225</v>
      </c>
      <c r="D191" s="1">
        <f t="shared" si="16"/>
        <v>69406993.137178957</v>
      </c>
      <c r="E191" s="1">
        <f t="shared" si="17"/>
        <v>128860191.36719592</v>
      </c>
      <c r="F191" s="1">
        <f t="shared" si="19"/>
        <v>13912871489.338612</v>
      </c>
    </row>
    <row r="192" spans="1:6" x14ac:dyDescent="0.35">
      <c r="A192" s="1">
        <f t="shared" si="18"/>
        <v>190000000</v>
      </c>
      <c r="B192">
        <f t="shared" si="14"/>
        <v>526275.60681747971</v>
      </c>
      <c r="C192" s="1">
        <f t="shared" si="15"/>
        <v>78010464.905808002</v>
      </c>
      <c r="D192" s="1">
        <f t="shared" si="16"/>
        <v>69688085.671856672</v>
      </c>
      <c r="E192" s="1">
        <f t="shared" si="17"/>
        <v>130108087.40260722</v>
      </c>
      <c r="F192" s="1">
        <f t="shared" si="19"/>
        <v>13915015903.627863</v>
      </c>
    </row>
    <row r="193" spans="1:6" x14ac:dyDescent="0.35">
      <c r="A193" s="1">
        <f t="shared" si="18"/>
        <v>191000000</v>
      </c>
      <c r="B193">
        <f t="shared" si="14"/>
        <v>528457.60534989857</v>
      </c>
      <c r="C193" s="1">
        <f t="shared" si="15"/>
        <v>78597756.993671089</v>
      </c>
      <c r="D193" s="1">
        <f t="shared" si="16"/>
        <v>69957401.125834495</v>
      </c>
      <c r="E193" s="1">
        <f t="shared" si="17"/>
        <v>131359930.26437747</v>
      </c>
      <c r="F193" s="1">
        <f t="shared" si="19"/>
        <v>13917134830.386427</v>
      </c>
    </row>
    <row r="194" spans="1:6" x14ac:dyDescent="0.35">
      <c r="A194" s="1">
        <f t="shared" si="18"/>
        <v>192000000</v>
      </c>
      <c r="B194">
        <f t="shared" ref="B194:B257" si="20">$M$3*A194^$M$4</f>
        <v>530637.18559185322</v>
      </c>
      <c r="C194" s="1">
        <f t="shared" ref="C194:C257" si="21">$M$7*A194*B194^$M$8</f>
        <v>79186368.994344816</v>
      </c>
      <c r="D194" s="1">
        <f t="shared" ref="D194:D257" si="22">$M$1*A194*(A194/$M$10-1)*(1-A194/$M$2)-C194</f>
        <v>70214764.36743854</v>
      </c>
      <c r="E194" s="1">
        <f t="shared" ref="E194:E257" si="23">$M$5*C194-$M$6*B194</f>
        <v>132615706.88917749</v>
      </c>
      <c r="F194" s="1">
        <f t="shared" si="19"/>
        <v>13919228758.155369</v>
      </c>
    </row>
    <row r="195" spans="1:6" x14ac:dyDescent="0.35">
      <c r="A195" s="1">
        <f t="shared" ref="A195:A258" si="24">A194+1000000</f>
        <v>193000000</v>
      </c>
      <c r="B195">
        <f t="shared" si="20"/>
        <v>532814.36279800721</v>
      </c>
      <c r="C195" s="1">
        <f t="shared" si="21"/>
        <v>79776296.9765331</v>
      </c>
      <c r="D195" s="1">
        <f t="shared" si="22"/>
        <v>70460000.232520208</v>
      </c>
      <c r="E195" s="1">
        <f t="shared" si="23"/>
        <v>133875404.32854427</v>
      </c>
      <c r="F195" s="1">
        <f t="shared" si="19"/>
        <v>13921298162.865658</v>
      </c>
    </row>
    <row r="196" spans="1:6" x14ac:dyDescent="0.35">
      <c r="A196" s="1">
        <f t="shared" si="24"/>
        <v>194000000</v>
      </c>
      <c r="B196">
        <f t="shared" si="20"/>
        <v>534989.15204829455</v>
      </c>
      <c r="C196" s="1">
        <f t="shared" si="21"/>
        <v>80367537.04098022</v>
      </c>
      <c r="D196" s="1">
        <f t="shared" si="22"/>
        <v>70692933.524890631</v>
      </c>
      <c r="E196" s="1">
        <f t="shared" si="23"/>
        <v>135139009.74725753</v>
      </c>
      <c r="F196" s="1">
        <f t="shared" ref="F196:F259" si="25">F197+($M$9 *F197-E196)/D197*(A196-A197)</f>
        <v>13923343508.257721</v>
      </c>
    </row>
    <row r="197" spans="1:6" x14ac:dyDescent="0.35">
      <c r="A197" s="1">
        <f t="shared" si="24"/>
        <v>195000000</v>
      </c>
      <c r="B197">
        <f t="shared" si="20"/>
        <v>537161.5682508176</v>
      </c>
      <c r="C197" s="1">
        <f t="shared" si="21"/>
        <v>80960085.320046499</v>
      </c>
      <c r="D197" s="1">
        <f t="shared" si="22"/>
        <v>70913389.016744807</v>
      </c>
      <c r="E197" s="1">
        <f t="shared" si="23"/>
        <v>136406510.42175046</v>
      </c>
      <c r="F197" s="1">
        <f t="shared" si="25"/>
        <v>13925365246.284437</v>
      </c>
    </row>
    <row r="198" spans="1:6" x14ac:dyDescent="0.35">
      <c r="A198" s="1">
        <f t="shared" si="24"/>
        <v>196000000</v>
      </c>
      <c r="B198">
        <f t="shared" si="20"/>
        <v>539331.62614467042</v>
      </c>
      <c r="C198" s="1">
        <f t="shared" si="21"/>
        <v>81553937.977290437</v>
      </c>
      <c r="D198" s="1">
        <f t="shared" si="22"/>
        <v>71121191.449079648</v>
      </c>
      <c r="E198" s="1">
        <f t="shared" si="23"/>
        <v>137677893.73854962</v>
      </c>
      <c r="F198" s="1">
        <f t="shared" si="25"/>
        <v>13927363817.498335</v>
      </c>
    </row>
    <row r="199" spans="1:6" x14ac:dyDescent="0.35">
      <c r="A199" s="1">
        <f t="shared" si="24"/>
        <v>197000000</v>
      </c>
      <c r="B199">
        <f t="shared" si="20"/>
        <v>541499.34030270868</v>
      </c>
      <c r="C199" s="1">
        <f t="shared" si="21"/>
        <v>82149091.207059383</v>
      </c>
      <c r="D199" s="1">
        <f t="shared" si="22"/>
        <v>71316165.532103091</v>
      </c>
      <c r="E199" s="1">
        <f t="shared" si="23"/>
        <v>138953147.19274592</v>
      </c>
      <c r="F199" s="1">
        <f t="shared" si="25"/>
        <v>13929339651.423765</v>
      </c>
    </row>
    <row r="200" spans="1:6" x14ac:dyDescent="0.35">
      <c r="A200" s="1">
        <f t="shared" si="24"/>
        <v>198000000</v>
      </c>
      <c r="B200">
        <f t="shared" si="20"/>
        <v>543664.72513425827</v>
      </c>
      <c r="C200" s="1">
        <f t="shared" si="21"/>
        <v>82745541.234086737</v>
      </c>
      <c r="D200" s="1">
        <f t="shared" si="22"/>
        <v>71498135.945637211</v>
      </c>
      <c r="E200" s="1">
        <f t="shared" si="23"/>
        <v>140232258.38649267</v>
      </c>
      <c r="F200" s="1">
        <f t="shared" si="25"/>
        <v>13931293166.91474</v>
      </c>
    </row>
    <row r="201" spans="1:6" x14ac:dyDescent="0.35">
      <c r="A201" s="1">
        <f t="shared" si="24"/>
        <v>199000000</v>
      </c>
      <c r="B201">
        <f t="shared" si="20"/>
        <v>545827.7948877702</v>
      </c>
      <c r="C201" s="1">
        <f t="shared" si="21"/>
        <v>83343284.313097671</v>
      </c>
      <c r="D201" s="1">
        <f t="shared" si="22"/>
        <v>71666927.339512095</v>
      </c>
      <c r="E201" s="1">
        <f t="shared" si="23"/>
        <v>141515215.02753487</v>
      </c>
      <c r="F201" s="1">
        <f t="shared" si="25"/>
        <v>13933224772.499107</v>
      </c>
    </row>
    <row r="202" spans="1:6" x14ac:dyDescent="0.35">
      <c r="A202" s="1">
        <f t="shared" si="24"/>
        <v>200000000</v>
      </c>
      <c r="B202">
        <f t="shared" si="20"/>
        <v>547988.56365340459</v>
      </c>
      <c r="C202" s="1">
        <f t="shared" si="21"/>
        <v>83942316.728420064</v>
      </c>
      <c r="D202" s="1">
        <f t="shared" si="22"/>
        <v>71822364.333955303</v>
      </c>
      <c r="E202" s="1">
        <f t="shared" si="23"/>
        <v>142802004.92776328</v>
      </c>
      <c r="F202" s="1">
        <f t="shared" si="25"/>
        <v>13935134866.709719</v>
      </c>
    </row>
    <row r="203" spans="1:6" x14ac:dyDescent="0.35">
      <c r="A203" s="1">
        <f t="shared" si="24"/>
        <v>201000000</v>
      </c>
      <c r="B203">
        <f t="shared" si="20"/>
        <v>550147.04536558641</v>
      </c>
      <c r="C203" s="1">
        <f t="shared" si="21"/>
        <v>84542634.793604776</v>
      </c>
      <c r="D203" s="1">
        <f t="shared" si="22"/>
        <v>71964271.519971326</v>
      </c>
      <c r="E203" s="1">
        <f t="shared" si="23"/>
        <v>144092616.00179818</v>
      </c>
      <c r="F203" s="1">
        <f t="shared" si="25"/>
        <v>13937023838.40316</v>
      </c>
    </row>
    <row r="204" spans="1:6" x14ac:dyDescent="0.35">
      <c r="A204" s="1">
        <f t="shared" si="24"/>
        <v>202000000</v>
      </c>
      <c r="B204">
        <f t="shared" si="20"/>
        <v>552303.25380548276</v>
      </c>
      <c r="C204" s="1">
        <f t="shared" si="21"/>
        <v>85144234.851050556</v>
      </c>
      <c r="D204" s="1">
        <f t="shared" si="22"/>
        <v>72092473.459716737</v>
      </c>
      <c r="E204" s="1">
        <f t="shared" si="23"/>
        <v>145387036.26559764</v>
      </c>
      <c r="F204" s="1">
        <f t="shared" si="25"/>
        <v>13938892067.066652</v>
      </c>
    </row>
    <row r="205" spans="1:6" x14ac:dyDescent="0.35">
      <c r="A205" s="1">
        <f t="shared" si="24"/>
        <v>203000000</v>
      </c>
      <c r="B205">
        <f t="shared" si="20"/>
        <v>554457.20260344073</v>
      </c>
      <c r="C205" s="1">
        <f t="shared" si="21"/>
        <v>85747113.271636695</v>
      </c>
      <c r="D205" s="1">
        <f t="shared" si="22"/>
        <v>72206794.686867654</v>
      </c>
      <c r="E205" s="1">
        <f t="shared" si="23"/>
        <v>146685253.83509266</v>
      </c>
      <c r="F205" s="1">
        <f t="shared" si="25"/>
        <v>13940739923.113653</v>
      </c>
    </row>
    <row r="206" spans="1:6" x14ac:dyDescent="0.35">
      <c r="A206" s="1">
        <f t="shared" si="24"/>
        <v>204000000</v>
      </c>
      <c r="B206">
        <f t="shared" si="20"/>
        <v>556608.90524137416</v>
      </c>
      <c r="C206" s="1">
        <f t="shared" si="21"/>
        <v>86351266.454362229</v>
      </c>
      <c r="D206" s="1">
        <f t="shared" si="22"/>
        <v>72307059.706980422</v>
      </c>
      <c r="E206" s="1">
        <f t="shared" si="23"/>
        <v>147987256.92484778</v>
      </c>
      <c r="F206" s="1">
        <f t="shared" si="25"/>
        <v>13942567768.168671</v>
      </c>
    </row>
    <row r="207" spans="1:6" x14ac:dyDescent="0.35">
      <c r="A207" s="1">
        <f t="shared" si="24"/>
        <v>205000000</v>
      </c>
      <c r="B207">
        <f t="shared" si="20"/>
        <v>558758.37505509518</v>
      </c>
      <c r="C207" s="1">
        <f t="shared" si="21"/>
        <v>86956690.825990275</v>
      </c>
      <c r="D207" s="1">
        <f t="shared" si="22"/>
        <v>72393092.997847214</v>
      </c>
      <c r="E207" s="1">
        <f t="shared" si="23"/>
        <v>149293033.84674421</v>
      </c>
      <c r="F207" s="1">
        <f t="shared" si="25"/>
        <v>13944375955.341803</v>
      </c>
    </row>
    <row r="208" spans="1:6" x14ac:dyDescent="0.35">
      <c r="A208" s="1">
        <f t="shared" si="24"/>
        <v>206000000</v>
      </c>
      <c r="B208">
        <f t="shared" si="20"/>
        <v>560905.62523660879</v>
      </c>
      <c r="C208" s="1">
        <f t="shared" si="21"/>
        <v>87563382.840700418</v>
      </c>
      <c r="D208" s="1">
        <f t="shared" si="22"/>
        <v>72464719.009843916</v>
      </c>
      <c r="E208" s="1">
        <f t="shared" si="23"/>
        <v>150602573.00869</v>
      </c>
      <c r="F208" s="1">
        <f t="shared" si="25"/>
        <v>13946164829.49345</v>
      </c>
    </row>
    <row r="209" spans="1:6" x14ac:dyDescent="0.35">
      <c r="A209" s="1">
        <f t="shared" si="24"/>
        <v>207000000</v>
      </c>
      <c r="B209">
        <f t="shared" si="20"/>
        <v>563050.66883634555</v>
      </c>
      <c r="C209" s="1">
        <f t="shared" si="21"/>
        <v>88171338.979745552</v>
      </c>
      <c r="D209" s="1">
        <f t="shared" si="22"/>
        <v>72521762.166272894</v>
      </c>
      <c r="E209" s="1">
        <f t="shared" si="23"/>
        <v>151915862.91335213</v>
      </c>
      <c r="F209" s="1">
        <f t="shared" si="25"/>
        <v>13947934727.489679</v>
      </c>
    </row>
    <row r="210" spans="1:6" x14ac:dyDescent="0.35">
      <c r="A210" s="1">
        <f t="shared" si="24"/>
        <v>208000000</v>
      </c>
      <c r="B210">
        <f t="shared" si="20"/>
        <v>565193.51876536722</v>
      </c>
      <c r="C210" s="1">
        <f t="shared" si="21"/>
        <v>88780555.751115501</v>
      </c>
      <c r="D210" s="1">
        <f t="shared" si="22"/>
        <v>72564046.863699675</v>
      </c>
      <c r="E210" s="1">
        <f t="shared" si="23"/>
        <v>153232892.15691066</v>
      </c>
      <c r="F210" s="1">
        <f t="shared" si="25"/>
        <v>13949685978.448633</v>
      </c>
    </row>
    <row r="211" spans="1:6" x14ac:dyDescent="0.35">
      <c r="A211" s="1">
        <f t="shared" si="24"/>
        <v>209000000</v>
      </c>
      <c r="B211">
        <f t="shared" si="20"/>
        <v>567334.18779750692</v>
      </c>
      <c r="C211" s="1">
        <f t="shared" si="21"/>
        <v>89391029.689205974</v>
      </c>
      <c r="D211" s="1">
        <f t="shared" si="22"/>
        <v>72591397.472284079</v>
      </c>
      <c r="E211" s="1">
        <f t="shared" si="23"/>
        <v>154553649.42783761</v>
      </c>
      <c r="F211" s="1">
        <f t="shared" si="25"/>
        <v>13951418903.97842</v>
      </c>
    </row>
    <row r="212" spans="1:6" x14ac:dyDescent="0.35">
      <c r="A212" s="1">
        <f t="shared" si="24"/>
        <v>210000000</v>
      </c>
      <c r="B212">
        <f t="shared" si="20"/>
        <v>569472.68857148406</v>
      </c>
      <c r="C212" s="1">
        <f t="shared" si="21"/>
        <v>90002757.35449338</v>
      </c>
      <c r="D212" s="1">
        <f t="shared" si="22"/>
        <v>72603638.3361049</v>
      </c>
      <c r="E212" s="1">
        <f t="shared" si="23"/>
        <v>155878123.50569507</v>
      </c>
      <c r="F212" s="1">
        <f t="shared" si="25"/>
        <v>13953133818.406866</v>
      </c>
    </row>
    <row r="213" spans="1:6" x14ac:dyDescent="0.35">
      <c r="A213" s="1">
        <f t="shared" si="24"/>
        <v>211000000</v>
      </c>
      <c r="B213">
        <f t="shared" si="20"/>
        <v>571609.03359296871</v>
      </c>
      <c r="C213" s="1">
        <f t="shared" si="21"/>
        <v>90615735.333215222</v>
      </c>
      <c r="D213" s="1">
        <f t="shared" si="22"/>
        <v>72600593.773480102</v>
      </c>
      <c r="E213" s="1">
        <f t="shared" si="23"/>
        <v>157206303.2599569</v>
      </c>
      <c r="F213" s="1">
        <f t="shared" si="25"/>
        <v>13954831029.003502</v>
      </c>
    </row>
    <row r="214" spans="1:6" x14ac:dyDescent="0.35">
      <c r="A214" s="1">
        <f t="shared" si="24"/>
        <v>212000000</v>
      </c>
      <c r="B214">
        <f t="shared" si="20"/>
        <v>573743.23523660342</v>
      </c>
      <c r="C214" s="1">
        <f t="shared" si="21"/>
        <v>91229960.237056121</v>
      </c>
      <c r="D214" s="1">
        <f t="shared" si="22"/>
        <v>72582088.077280357</v>
      </c>
      <c r="E214" s="1">
        <f t="shared" si="23"/>
        <v>158538177.64885122</v>
      </c>
      <c r="F214" s="1">
        <f t="shared" si="25"/>
        <v>13956510836.194143</v>
      </c>
    </row>
    <row r="215" spans="1:6" x14ac:dyDescent="0.35">
      <c r="A215" s="1">
        <f t="shared" si="24"/>
        <v>213000000</v>
      </c>
      <c r="B215">
        <f t="shared" si="20"/>
        <v>575875.30574799108</v>
      </c>
      <c r="C215" s="1">
        <f t="shared" si="21"/>
        <v>91845428.702838391</v>
      </c>
      <c r="D215" s="1">
        <f t="shared" si="22"/>
        <v>72547945.515238732</v>
      </c>
      <c r="E215" s="1">
        <f t="shared" si="23"/>
        <v>159873735.71822104</v>
      </c>
      <c r="F215" s="1">
        <f t="shared" si="25"/>
        <v>13958173533.768414</v>
      </c>
    </row>
    <row r="216" spans="1:6" x14ac:dyDescent="0.35">
      <c r="A216" s="1">
        <f t="shared" si="24"/>
        <v>214000000</v>
      </c>
      <c r="B216">
        <f t="shared" si="20"/>
        <v>578005.25724563515</v>
      </c>
      <c r="C216" s="1">
        <f t="shared" si="21"/>
        <v>92462137.392218456</v>
      </c>
      <c r="D216" s="1">
        <f t="shared" si="22"/>
        <v>72497990.330254212</v>
      </c>
      <c r="E216" s="1">
        <f t="shared" si="23"/>
        <v>161212966.60040766</v>
      </c>
      <c r="F216" s="1">
        <f t="shared" si="25"/>
        <v>13959819409.08054</v>
      </c>
    </row>
    <row r="217" spans="1:6" x14ac:dyDescent="0.35">
      <c r="A217" s="1">
        <f t="shared" si="24"/>
        <v>215000000</v>
      </c>
      <c r="B217">
        <f t="shared" si="20"/>
        <v>580133.10172285163</v>
      </c>
      <c r="C217" s="1">
        <f t="shared" si="21"/>
        <v>93080082.991388485</v>
      </c>
      <c r="D217" s="1">
        <f t="shared" si="22"/>
        <v>72432046.740689978</v>
      </c>
      <c r="E217" s="1">
        <f t="shared" si="23"/>
        <v>162555859.51315266</v>
      </c>
      <c r="F217" s="1">
        <f t="shared" si="25"/>
        <v>13961448743.243731</v>
      </c>
    </row>
    <row r="218" spans="1:6" x14ac:dyDescent="0.35">
      <c r="A218" s="1">
        <f t="shared" si="24"/>
        <v>216000000</v>
      </c>
      <c r="B218">
        <f t="shared" si="20"/>
        <v>582258.85104963393</v>
      </c>
      <c r="C218" s="1">
        <f t="shared" si="21"/>
        <v>93699262.21078223</v>
      </c>
      <c r="D218" s="1">
        <f t="shared" si="22"/>
        <v>72349938.94066754</v>
      </c>
      <c r="E218" s="1">
        <f t="shared" si="23"/>
        <v>163902403.75851804</v>
      </c>
      <c r="F218" s="1">
        <f t="shared" si="25"/>
        <v>13963061811.318451</v>
      </c>
    </row>
    <row r="219" spans="1:6" x14ac:dyDescent="0.35">
      <c r="A219" s="1">
        <f t="shared" si="24"/>
        <v>217000000</v>
      </c>
      <c r="B219">
        <f t="shared" si="20"/>
        <v>584382.51697448443</v>
      </c>
      <c r="C219" s="1">
        <f t="shared" si="21"/>
        <v>94319671.784785926</v>
      </c>
      <c r="D219" s="1">
        <f t="shared" si="22"/>
        <v>72251491.100356191</v>
      </c>
      <c r="E219" s="1">
        <f t="shared" si="23"/>
        <v>165252588.7218259</v>
      </c>
      <c r="F219" s="1">
        <f t="shared" si="25"/>
        <v>13964658882.494894</v>
      </c>
    </row>
    <row r="220" spans="1:6" x14ac:dyDescent="0.35">
      <c r="A220" s="1">
        <f t="shared" si="24"/>
        <v>218000000</v>
      </c>
      <c r="B220">
        <f t="shared" si="20"/>
        <v>586504.11112621869</v>
      </c>
      <c r="C220" s="1">
        <f t="shared" si="21"/>
        <v>94941308.471455246</v>
      </c>
      <c r="D220" s="1">
        <f t="shared" si="22"/>
        <v>72136527.366255492</v>
      </c>
      <c r="E220" s="1">
        <f t="shared" si="23"/>
        <v>166606403.87061775</v>
      </c>
      <c r="F220" s="1">
        <f t="shared" si="25"/>
        <v>13966240220.269922</v>
      </c>
    </row>
    <row r="221" spans="1:6" x14ac:dyDescent="0.35">
      <c r="A221" s="1">
        <f t="shared" si="24"/>
        <v>219000000</v>
      </c>
      <c r="B221">
        <f t="shared" si="20"/>
        <v>588623.64501572342</v>
      </c>
      <c r="C221" s="1">
        <f t="shared" si="21"/>
        <v>95564169.052234903</v>
      </c>
      <c r="D221" s="1">
        <f t="shared" si="22"/>
        <v>72004871.861476198</v>
      </c>
      <c r="E221" s="1">
        <f t="shared" si="23"/>
        <v>167963838.75362855</v>
      </c>
      <c r="F221" s="1">
        <f t="shared" si="25"/>
        <v>13967806082.618774</v>
      </c>
    </row>
    <row r="222" spans="1:6" x14ac:dyDescent="0.35">
      <c r="A222" s="1">
        <f t="shared" si="24"/>
        <v>220000000</v>
      </c>
      <c r="B222">
        <f t="shared" si="20"/>
        <v>590741.13003768574</v>
      </c>
      <c r="C222" s="1">
        <f t="shared" si="21"/>
        <v>96188250.331684247</v>
      </c>
      <c r="D222" s="1">
        <f t="shared" si="22"/>
        <v>71856348.68601425</v>
      </c>
      <c r="E222" s="1">
        <f t="shared" si="23"/>
        <v>169324882.99978155</v>
      </c>
      <c r="F222" s="1">
        <f t="shared" si="25"/>
        <v>13969356722.161795</v>
      </c>
    </row>
    <row r="223" spans="1:6" x14ac:dyDescent="0.35">
      <c r="A223" s="1">
        <f t="shared" si="24"/>
        <v>221000000</v>
      </c>
      <c r="B223">
        <f t="shared" si="20"/>
        <v>592856.57747228269</v>
      </c>
      <c r="C223" s="1">
        <f t="shared" si="21"/>
        <v>96813549.137205958</v>
      </c>
      <c r="D223" s="1">
        <f t="shared" si="22"/>
        <v>71690781.917022377</v>
      </c>
      <c r="E223" s="1">
        <f t="shared" si="23"/>
        <v>170689526.31719685</v>
      </c>
      <c r="F223" s="1">
        <f t="shared" si="25"/>
        <v>13970892386.32646</v>
      </c>
    </row>
    <row r="224" spans="1:6" x14ac:dyDescent="0.35">
      <c r="A224" s="1">
        <f t="shared" si="24"/>
        <v>222000000</v>
      </c>
      <c r="B224">
        <f t="shared" si="20"/>
        <v>594969.99848686205</v>
      </c>
      <c r="C224" s="1">
        <f t="shared" si="21"/>
        <v>97440062.318782032</v>
      </c>
      <c r="D224" s="1">
        <f t="shared" si="22"/>
        <v>71507995.609073907</v>
      </c>
      <c r="E224" s="1">
        <f t="shared" si="23"/>
        <v>172057758.49222159</v>
      </c>
      <c r="F224" s="1">
        <f t="shared" si="25"/>
        <v>13972413317.504946</v>
      </c>
    </row>
    <row r="225" spans="1:6" x14ac:dyDescent="0.35">
      <c r="A225" s="1">
        <f t="shared" si="24"/>
        <v>223000000</v>
      </c>
      <c r="B225">
        <f t="shared" si="20"/>
        <v>597081.4041375526</v>
      </c>
      <c r="C225" s="1">
        <f t="shared" si="21"/>
        <v>98067786.74870941</v>
      </c>
      <c r="D225" s="1">
        <f t="shared" si="22"/>
        <v>71307813.794427305</v>
      </c>
      <c r="E225" s="1">
        <f t="shared" si="23"/>
        <v>173429569.38846987</v>
      </c>
      <c r="F225" s="1">
        <f t="shared" si="25"/>
        <v>13973919753.207512</v>
      </c>
    </row>
    <row r="226" spans="1:6" x14ac:dyDescent="0.35">
      <c r="A226" s="1">
        <f t="shared" si="24"/>
        <v>224000000</v>
      </c>
      <c r="B226">
        <f t="shared" si="20"/>
        <v>599190.80537087796</v>
      </c>
      <c r="C226" s="1">
        <f t="shared" si="21"/>
        <v>98696719.321344346</v>
      </c>
      <c r="D226" s="1">
        <f t="shared" si="22"/>
        <v>71090060.483281612</v>
      </c>
      <c r="E226" s="1">
        <f t="shared" si="23"/>
        <v>174804948.94588542</v>
      </c>
      <c r="F226" s="1">
        <f t="shared" si="25"/>
        <v>13975411926.211933</v>
      </c>
    </row>
    <row r="227" spans="1:6" x14ac:dyDescent="0.35">
      <c r="A227" s="1">
        <f t="shared" si="24"/>
        <v>225000000</v>
      </c>
      <c r="B227">
        <f t="shared" si="20"/>
        <v>601298.21302532789</v>
      </c>
      <c r="C227" s="1">
        <f t="shared" si="21"/>
        <v>99326856.952848464</v>
      </c>
      <c r="D227" s="1">
        <f t="shared" si="22"/>
        <v>70854559.664030701</v>
      </c>
      <c r="E227" s="1">
        <f t="shared" si="23"/>
        <v>176183887.17981571</v>
      </c>
      <c r="F227" s="1">
        <f t="shared" si="25"/>
        <v>13976890064.709229</v>
      </c>
    </row>
    <row r="228" spans="1:6" x14ac:dyDescent="0.35">
      <c r="A228" s="1">
        <f t="shared" si="24"/>
        <v>226000000</v>
      </c>
      <c r="B228">
        <f t="shared" si="20"/>
        <v>603403.63783289259</v>
      </c>
      <c r="C228" s="1">
        <f t="shared" si="21"/>
        <v>99958196.580938756</v>
      </c>
      <c r="D228" s="1">
        <f t="shared" si="22"/>
        <v>70601135.303512782</v>
      </c>
      <c r="E228" s="1">
        <f t="shared" si="23"/>
        <v>177566374.18010211</v>
      </c>
      <c r="F228" s="1">
        <f t="shared" si="25"/>
        <v>13978354392.445951</v>
      </c>
    </row>
    <row r="229" spans="1:6" x14ac:dyDescent="0.35">
      <c r="A229" s="1">
        <f t="shared" si="24"/>
        <v>227000000</v>
      </c>
      <c r="B229">
        <f t="shared" si="20"/>
        <v>605507.09042058082</v>
      </c>
      <c r="C229" s="1">
        <f t="shared" si="21"/>
        <v>100590735.16464296</v>
      </c>
      <c r="D229" s="1">
        <f t="shared" si="22"/>
        <v>70329611.347255617</v>
      </c>
      <c r="E229" s="1">
        <f t="shared" si="23"/>
        <v>178952400.11018717</v>
      </c>
      <c r="F229" s="1">
        <f t="shared" si="25"/>
        <v>13979805128.863268</v>
      </c>
    </row>
    <row r="230" spans="1:6" x14ac:dyDescent="0.35">
      <c r="A230" s="1">
        <f t="shared" si="24"/>
        <v>228000000</v>
      </c>
      <c r="B230">
        <f t="shared" si="20"/>
        <v>607608.58131190296</v>
      </c>
      <c r="C230" s="1">
        <f t="shared" si="21"/>
        <v>101224469.68405707</v>
      </c>
      <c r="D230" s="1">
        <f t="shared" si="22"/>
        <v>70039811.719718501</v>
      </c>
      <c r="E230" s="1">
        <f t="shared" si="23"/>
        <v>180341955.20623296</v>
      </c>
      <c r="F230" s="1">
        <f t="shared" si="25"/>
        <v>13981242489.233072</v>
      </c>
    </row>
    <row r="231" spans="1:6" x14ac:dyDescent="0.35">
      <c r="A231" s="1">
        <f t="shared" si="24"/>
        <v>229000000</v>
      </c>
      <c r="B231">
        <f t="shared" si="20"/>
        <v>609708.12092833046</v>
      </c>
      <c r="C231" s="1">
        <f t="shared" si="21"/>
        <v>101859397.14010869</v>
      </c>
      <c r="D231" s="1">
        <f t="shared" si="22"/>
        <v>69731560.324529216</v>
      </c>
      <c r="E231" s="1">
        <f t="shared" si="23"/>
        <v>181735029.77625895</v>
      </c>
      <c r="F231" s="1">
        <f t="shared" si="25"/>
        <v>13982666684.791403</v>
      </c>
    </row>
    <row r="232" spans="1:6" x14ac:dyDescent="0.35">
      <c r="A232" s="1">
        <f t="shared" si="24"/>
        <v>230000000</v>
      </c>
      <c r="B232">
        <f t="shared" si="20"/>
        <v>611805.71959072188</v>
      </c>
      <c r="C232" s="1">
        <f t="shared" si="21"/>
        <v>102495514.55432142</v>
      </c>
      <c r="D232" s="1">
        <f t="shared" si="22"/>
        <v>69404681.044719562</v>
      </c>
      <c r="E232" s="1">
        <f t="shared" si="23"/>
        <v>183131614.19928741</v>
      </c>
      <c r="F232" s="1">
        <f t="shared" si="25"/>
        <v>13984077922.869394</v>
      </c>
    </row>
    <row r="233" spans="1:6" x14ac:dyDescent="0.35">
      <c r="A233" s="1">
        <f t="shared" si="24"/>
        <v>231000000</v>
      </c>
      <c r="B233">
        <f t="shared" si="20"/>
        <v>613901.38752073108</v>
      </c>
      <c r="C233" s="1">
        <f t="shared" si="21"/>
        <v>103132818.96858579</v>
      </c>
      <c r="D233" s="1">
        <f t="shared" si="22"/>
        <v>69058997.742954284</v>
      </c>
      <c r="E233" s="1">
        <f t="shared" si="23"/>
        <v>184531698.92450979</v>
      </c>
      <c r="F233" s="1">
        <f t="shared" si="25"/>
        <v>13985476407.022041</v>
      </c>
    </row>
    <row r="234" spans="1:6" x14ac:dyDescent="0.35">
      <c r="A234" s="1">
        <f t="shared" si="24"/>
        <v>232000000</v>
      </c>
      <c r="B234">
        <f t="shared" si="20"/>
        <v>615995.13484218228</v>
      </c>
      <c r="C234" s="1">
        <f t="shared" si="21"/>
        <v>103771307.44493112</v>
      </c>
      <c r="D234" s="1">
        <f t="shared" si="22"/>
        <v>68694334.261759549</v>
      </c>
      <c r="E234" s="1">
        <f t="shared" si="23"/>
        <v>185935274.47046018</v>
      </c>
      <c r="F234" s="1">
        <f t="shared" si="25"/>
        <v>13986862337.155024</v>
      </c>
    </row>
    <row r="235" spans="1:6" x14ac:dyDescent="0.35">
      <c r="A235" s="1">
        <f t="shared" si="24"/>
        <v>233000000</v>
      </c>
      <c r="B235">
        <f t="shared" si="20"/>
        <v>618086.97158243135</v>
      </c>
      <c r="C235" s="1">
        <f t="shared" si="21"/>
        <v>104410977.06530349</v>
      </c>
      <c r="D235" s="1">
        <f t="shared" si="22"/>
        <v>68310514.423744544</v>
      </c>
      <c r="E235" s="1">
        <f t="shared" si="23"/>
        <v>187342331.42420745</v>
      </c>
      <c r="F235" s="1">
        <f t="shared" si="25"/>
        <v>13988235909.649889</v>
      </c>
    </row>
    <row r="236" spans="1:6" x14ac:dyDescent="0.35">
      <c r="A236" s="1">
        <f t="shared" si="24"/>
        <v>234000000</v>
      </c>
      <c r="B236">
        <f t="shared" si="20"/>
        <v>620176.90767368418</v>
      </c>
      <c r="C236" s="1">
        <f t="shared" si="21"/>
        <v>105051824.93134432</v>
      </c>
      <c r="D236" s="1">
        <f t="shared" si="22"/>
        <v>67907362.031823233</v>
      </c>
      <c r="E236" s="1">
        <f t="shared" si="23"/>
        <v>188752860.44055599</v>
      </c>
      <c r="F236" s="1">
        <f t="shared" si="25"/>
        <v>13989597317.487852</v>
      </c>
    </row>
    <row r="237" spans="1:6" x14ac:dyDescent="0.35">
      <c r="A237" s="1">
        <f t="shared" si="24"/>
        <v>235000000</v>
      </c>
      <c r="B237">
        <f t="shared" si="20"/>
        <v>622264.95295431151</v>
      </c>
      <c r="C237" s="1">
        <f t="shared" si="21"/>
        <v>105693848.16417462</v>
      </c>
      <c r="D237" s="1">
        <f t="shared" si="22"/>
        <v>67484700.869430006</v>
      </c>
      <c r="E237" s="1">
        <f t="shared" si="23"/>
        <v>190166852.24126184</v>
      </c>
      <c r="F237" s="1">
        <f t="shared" si="25"/>
        <v>13990946750.372545</v>
      </c>
    </row>
    <row r="238" spans="1:6" x14ac:dyDescent="0.35">
      <c r="A238" s="1">
        <f t="shared" si="24"/>
        <v>236000000</v>
      </c>
      <c r="B238">
        <f t="shared" si="20"/>
        <v>624351.11717012501</v>
      </c>
      <c r="C238" s="1">
        <f t="shared" si="21"/>
        <v>106337043.90418158</v>
      </c>
      <c r="D238" s="1">
        <f t="shared" si="22"/>
        <v>67042354.700733051</v>
      </c>
      <c r="E238" s="1">
        <f t="shared" si="23"/>
        <v>191584297.61426115</v>
      </c>
      <c r="F238" s="1">
        <f t="shared" si="25"/>
        <v>13992284394.852011</v>
      </c>
    </row>
    <row r="239" spans="1:6" x14ac:dyDescent="0.35">
      <c r="A239" s="1">
        <f t="shared" si="24"/>
        <v>237000000</v>
      </c>
      <c r="B239">
        <f t="shared" si="20"/>
        <v>626435.40997564152</v>
      </c>
      <c r="C239" s="1">
        <f t="shared" si="21"/>
        <v>106981409.31080851</v>
      </c>
      <c r="D239" s="1">
        <f t="shared" si="22"/>
        <v>66580147.270844311</v>
      </c>
      <c r="E239" s="1">
        <f t="shared" si="23"/>
        <v>193005187.41290984</v>
      </c>
      <c r="F239" s="1">
        <f t="shared" si="25"/>
        <v>13993610434.440289</v>
      </c>
    </row>
    <row r="240" spans="1:6" x14ac:dyDescent="0.35">
      <c r="A240" s="1">
        <f t="shared" si="24"/>
        <v>238000000</v>
      </c>
      <c r="B240">
        <f t="shared" si="20"/>
        <v>628517.84093531023</v>
      </c>
      <c r="C240" s="1">
        <f t="shared" si="21"/>
        <v>107626941.56234697</v>
      </c>
      <c r="D240" s="1">
        <f t="shared" si="22"/>
        <v>66097902.30602774</v>
      </c>
      <c r="E240" s="1">
        <f t="shared" si="23"/>
        <v>194429512.55523437</v>
      </c>
      <c r="F240" s="1">
        <f t="shared" si="25"/>
        <v>13994925049.738964</v>
      </c>
    </row>
    <row r="241" spans="1:6" x14ac:dyDescent="0.35">
      <c r="A241" s="1">
        <f t="shared" si="24"/>
        <v>239000000</v>
      </c>
      <c r="B241">
        <f t="shared" si="20"/>
        <v>630598.41952474345</v>
      </c>
      <c r="C241" s="1">
        <f t="shared" si="21"/>
        <v>108273637.85573491</v>
      </c>
      <c r="D241" s="1">
        <f t="shared" si="22"/>
        <v>65595443.513900608</v>
      </c>
      <c r="E241" s="1">
        <f t="shared" si="23"/>
        <v>195857264.02319852</v>
      </c>
      <c r="F241" s="1">
        <f t="shared" si="25"/>
        <v>13996228418.559053</v>
      </c>
    </row>
    <row r="242" spans="1:6" x14ac:dyDescent="0.35">
      <c r="A242" s="1">
        <f t="shared" si="24"/>
        <v>240000000</v>
      </c>
      <c r="B242">
        <f t="shared" si="20"/>
        <v>632677.15513189102</v>
      </c>
      <c r="C242" s="1">
        <f t="shared" si="21"/>
        <v>108921495.40635359</v>
      </c>
      <c r="D242" s="1">
        <f t="shared" si="22"/>
        <v>65072594.583637178</v>
      </c>
      <c r="E242" s="1">
        <f t="shared" si="23"/>
        <v>197288432.86197543</v>
      </c>
      <c r="F242" s="1">
        <f t="shared" si="25"/>
        <v>13997520716.043667</v>
      </c>
    </row>
    <row r="243" spans="1:6" x14ac:dyDescent="0.35">
      <c r="A243" s="1">
        <f t="shared" si="24"/>
        <v>241000000</v>
      </c>
      <c r="B243">
        <f t="shared" si="20"/>
        <v>634754.05705822818</v>
      </c>
      <c r="C243" s="1">
        <f t="shared" si="21"/>
        <v>109570511.44783166</v>
      </c>
      <c r="D243" s="1">
        <f t="shared" si="22"/>
        <v>64529179.186164051</v>
      </c>
      <c r="E243" s="1">
        <f t="shared" si="23"/>
        <v>198723010.17923656</v>
      </c>
      <c r="F243" s="1">
        <f t="shared" si="25"/>
        <v>13998802114.791903</v>
      </c>
    </row>
    <row r="244" spans="1:6" x14ac:dyDescent="0.35">
      <c r="A244" s="1">
        <f t="shared" si="24"/>
        <v>242000000</v>
      </c>
      <c r="B244">
        <f t="shared" si="20"/>
        <v>636829.13451990078</v>
      </c>
      <c r="C244" s="1">
        <f t="shared" si="21"/>
        <v>110220683.23184915</v>
      </c>
      <c r="D244" s="1">
        <f t="shared" si="22"/>
        <v>63965020.974356577</v>
      </c>
      <c r="E244" s="1">
        <f t="shared" si="23"/>
        <v>200160987.14444792</v>
      </c>
      <c r="F244" s="1">
        <f t="shared" si="25"/>
        <v>14000072784.984491</v>
      </c>
    </row>
    <row r="245" spans="1:6" x14ac:dyDescent="0.35">
      <c r="A245" s="1">
        <f t="shared" si="24"/>
        <v>243000000</v>
      </c>
      <c r="B245">
        <f t="shared" si="20"/>
        <v>638902.39664885669</v>
      </c>
      <c r="C245" s="1">
        <f t="shared" si="21"/>
        <v>110872008.02794619</v>
      </c>
      <c r="D245" s="1">
        <f t="shared" si="22"/>
        <v>63379943.583230004</v>
      </c>
      <c r="E245" s="1">
        <f t="shared" si="23"/>
        <v>201602354.98817968</v>
      </c>
      <c r="F245" s="1">
        <f t="shared" si="25"/>
        <v>14001332894.511742</v>
      </c>
    </row>
    <row r="246" spans="1:6" x14ac:dyDescent="0.35">
      <c r="A246" s="1">
        <f t="shared" si="24"/>
        <v>244000000</v>
      </c>
      <c r="B246">
        <f t="shared" si="20"/>
        <v>640973.85249396192</v>
      </c>
      <c r="C246" s="1">
        <f t="shared" si="21"/>
        <v>111524483.12333357</v>
      </c>
      <c r="D246" s="1">
        <f t="shared" si="22"/>
        <v>62773770.63012898</v>
      </c>
      <c r="E246" s="1">
        <f t="shared" si="23"/>
        <v>203047105.00142449</v>
      </c>
      <c r="F246" s="1">
        <f t="shared" si="25"/>
        <v>14002582609.10442</v>
      </c>
    </row>
    <row r="247" spans="1:6" x14ac:dyDescent="0.35">
      <c r="A247" s="1">
        <f t="shared" si="24"/>
        <v>245000000</v>
      </c>
      <c r="B247">
        <f t="shared" si="20"/>
        <v>643043.51102209196</v>
      </c>
      <c r="C247" s="1">
        <f t="shared" si="21"/>
        <v>112178105.82270633</v>
      </c>
      <c r="D247" s="1">
        <f t="shared" si="22"/>
        <v>62146325.714913651</v>
      </c>
      <c r="E247" s="1">
        <f t="shared" si="23"/>
        <v>204495228.53492701</v>
      </c>
      <c r="F247" s="1">
        <f t="shared" si="25"/>
        <v>14003822092.468267</v>
      </c>
    </row>
    <row r="248" spans="1:6" x14ac:dyDescent="0.35">
      <c r="A248" s="1">
        <f t="shared" si="24"/>
        <v>246000000</v>
      </c>
      <c r="B248">
        <f t="shared" si="20"/>
        <v>645111.38111920224</v>
      </c>
      <c r="C248" s="1">
        <f t="shared" si="21"/>
        <v>112832873.4480602</v>
      </c>
      <c r="D248" s="1">
        <f t="shared" si="22"/>
        <v>61497432.420143798</v>
      </c>
      <c r="E248" s="1">
        <f t="shared" si="23"/>
        <v>205946716.99852461</v>
      </c>
      <c r="F248" s="1">
        <f t="shared" si="25"/>
        <v>14005051506.422935</v>
      </c>
    </row>
    <row r="249" spans="1:6" x14ac:dyDescent="0.35">
      <c r="A249" s="1">
        <f t="shared" si="24"/>
        <v>247000000</v>
      </c>
      <c r="B249">
        <f t="shared" si="20"/>
        <v>647177.47159139207</v>
      </c>
      <c r="C249" s="1">
        <f t="shared" si="21"/>
        <v>113488783.33851044</v>
      </c>
      <c r="D249" s="1">
        <f t="shared" si="22"/>
        <v>60826914.311259493</v>
      </c>
      <c r="E249" s="1">
        <f t="shared" si="23"/>
        <v>207401561.86049521</v>
      </c>
      <c r="F249" s="1">
        <f t="shared" si="25"/>
        <v>14006271011.046215</v>
      </c>
    </row>
    <row r="250" spans="1:6" x14ac:dyDescent="0.35">
      <c r="A250" s="1">
        <f t="shared" si="24"/>
        <v>248000000</v>
      </c>
      <c r="B250">
        <f t="shared" si="20"/>
        <v>649241.79116593476</v>
      </c>
      <c r="C250" s="1">
        <f t="shared" si="21"/>
        <v>114145832.85011378</v>
      </c>
      <c r="D250" s="1">
        <f t="shared" si="22"/>
        <v>60134594.936759353</v>
      </c>
      <c r="E250" s="1">
        <f t="shared" si="23"/>
        <v>208859754.64691919</v>
      </c>
      <c r="F250" s="1">
        <f t="shared" si="25"/>
        <v>14007480764.824593</v>
      </c>
    </row>
    <row r="251" spans="1:6" x14ac:dyDescent="0.35">
      <c r="A251" s="1">
        <f t="shared" si="24"/>
        <v>249000000</v>
      </c>
      <c r="B251">
        <f t="shared" si="20"/>
        <v>651304.34849230328</v>
      </c>
      <c r="C251" s="1">
        <f t="shared" si="21"/>
        <v>114804019.35569225</v>
      </c>
      <c r="D251" s="1">
        <f t="shared" si="22"/>
        <v>59420297.828376785</v>
      </c>
      <c r="E251" s="1">
        <f t="shared" si="23"/>
        <v>210321286.94104671</v>
      </c>
      <c r="F251" s="1">
        <f t="shared" si="25"/>
        <v>14008680924.811256</v>
      </c>
    </row>
    <row r="252" spans="1:6" x14ac:dyDescent="0.35">
      <c r="A252" s="1">
        <f t="shared" si="24"/>
        <v>250000000</v>
      </c>
      <c r="B252">
        <f t="shared" si="20"/>
        <v>653365.15214317362</v>
      </c>
      <c r="C252" s="1">
        <f t="shared" si="21"/>
        <v>115463340.24466056</v>
      </c>
      <c r="D252" s="1">
        <f t="shared" si="22"/>
        <v>58683846.501252323</v>
      </c>
      <c r="E252" s="1">
        <f t="shared" si="23"/>
        <v>211786150.38267791</v>
      </c>
      <c r="F252" s="1">
        <f t="shared" si="25"/>
        <v>14009871646.792871</v>
      </c>
    </row>
    <row r="253" spans="1:6" x14ac:dyDescent="0.35">
      <c r="A253" s="1">
        <f t="shared" si="24"/>
        <v>251000000</v>
      </c>
      <c r="B253">
        <f t="shared" si="20"/>
        <v>655424.21061540756</v>
      </c>
      <c r="C253" s="1">
        <f t="shared" si="21"/>
        <v>116123792.92285448</v>
      </c>
      <c r="D253" s="1">
        <f t="shared" si="22"/>
        <v>57925064.454105675</v>
      </c>
      <c r="E253" s="1">
        <f t="shared" si="23"/>
        <v>213254336.66754976</v>
      </c>
      <c r="F253" s="1">
        <f t="shared" si="25"/>
        <v>14011053085.46664</v>
      </c>
    </row>
    <row r="254" spans="1:6" x14ac:dyDescent="0.35">
      <c r="A254" s="1">
        <f t="shared" si="24"/>
        <v>252000000</v>
      </c>
      <c r="B254">
        <f t="shared" si="20"/>
        <v>657481.53233102127</v>
      </c>
      <c r="C254" s="1">
        <f t="shared" si="21"/>
        <v>116785374.81236276</v>
      </c>
      <c r="D254" s="1">
        <f t="shared" si="22"/>
        <v>57143775.169403404</v>
      </c>
      <c r="E254" s="1">
        <f t="shared" si="23"/>
        <v>214725837.5467332</v>
      </c>
      <c r="F254" s="1">
        <f t="shared" si="25"/>
        <v>14012225394.629387</v>
      </c>
    </row>
    <row r="255" spans="1:6" x14ac:dyDescent="0.35">
      <c r="A255" s="1">
        <f t="shared" si="24"/>
        <v>253000000</v>
      </c>
      <c r="B255">
        <f t="shared" si="20"/>
        <v>659537.1256381456</v>
      </c>
      <c r="C255" s="1">
        <f t="shared" si="21"/>
        <v>117448083.35136138</v>
      </c>
      <c r="D255" s="1">
        <f t="shared" si="22"/>
        <v>56339802.113524839</v>
      </c>
      <c r="E255" s="1">
        <f t="shared" si="23"/>
        <v>216200644.82603943</v>
      </c>
      <c r="F255" s="1">
        <f t="shared" si="25"/>
        <v>14013388727.380695</v>
      </c>
    </row>
    <row r="256" spans="1:6" x14ac:dyDescent="0.35">
      <c r="A256" s="1">
        <f t="shared" si="24"/>
        <v>254000000</v>
      </c>
      <c r="B256">
        <f t="shared" si="20"/>
        <v>661590.9988119558</v>
      </c>
      <c r="C256" s="1">
        <f t="shared" si="21"/>
        <v>118111915.99394968</v>
      </c>
      <c r="D256" s="1">
        <f t="shared" si="22"/>
        <v>55512968.736926109</v>
      </c>
      <c r="E256" s="1">
        <f t="shared" si="23"/>
        <v>217678750.36543489</v>
      </c>
      <c r="F256" s="1">
        <f t="shared" si="25"/>
        <v>14014543236.342457</v>
      </c>
    </row>
    <row r="257" spans="1:6" x14ac:dyDescent="0.35">
      <c r="A257" s="1">
        <f t="shared" si="24"/>
        <v>255000000</v>
      </c>
      <c r="B257">
        <f t="shared" si="20"/>
        <v>663643.16005560174</v>
      </c>
      <c r="C257" s="1">
        <f t="shared" si="21"/>
        <v>118776870.2099894</v>
      </c>
      <c r="D257" s="1">
        <f t="shared" si="22"/>
        <v>54663098.474300742</v>
      </c>
      <c r="E257" s="1">
        <f t="shared" si="23"/>
        <v>219160146.07846436</v>
      </c>
      <c r="F257" s="1">
        <f t="shared" si="25"/>
        <v>14015689073.897604</v>
      </c>
    </row>
    <row r="258" spans="1:6" x14ac:dyDescent="0.35">
      <c r="A258" s="1">
        <f t="shared" si="24"/>
        <v>256000000</v>
      </c>
      <c r="B258">
        <f t="shared" ref="B258:B321" si="26">$M$3*A258^$M$4</f>
        <v>665693.61750110891</v>
      </c>
      <c r="C258" s="1">
        <f t="shared" ref="C258:C321" si="27">$M$7*A258*B258^$M$8</f>
        <v>119442943.48494521</v>
      </c>
      <c r="D258" s="1">
        <f t="shared" ref="D258:D321" si="28">$M$1*A258*(A258/$M$10-1)*(1-A258/$M$2)-C258</f>
        <v>53790014.744739532</v>
      </c>
      <c r="E258" s="1">
        <f t="shared" ref="E258:E321" si="29">$M$5*C258-$M$6*B258</f>
        <v>220644823.93168241</v>
      </c>
      <c r="F258" s="1">
        <f t="shared" si="25"/>
        <v>14016826392.45126</v>
      </c>
    </row>
    <row r="259" spans="1:6" x14ac:dyDescent="0.35">
      <c r="A259" s="1">
        <f t="shared" ref="A259:A322" si="30">A258+1000000</f>
        <v>257000000</v>
      </c>
      <c r="B259">
        <f t="shared" si="26"/>
        <v>667742.3792102678</v>
      </c>
      <c r="C259" s="1">
        <f t="shared" si="27"/>
        <v>120110133.31972761</v>
      </c>
      <c r="D259" s="1">
        <f t="shared" si="28"/>
        <v>52893540.951887324</v>
      </c>
      <c r="E259" s="1">
        <f t="shared" si="29"/>
        <v>222132775.94409361</v>
      </c>
      <c r="F259" s="1">
        <f t="shared" si="25"/>
        <v>14017955344.718172</v>
      </c>
    </row>
    <row r="260" spans="1:6" x14ac:dyDescent="0.35">
      <c r="A260" s="1">
        <f t="shared" si="30"/>
        <v>258000000</v>
      </c>
      <c r="B260">
        <f t="shared" si="26"/>
        <v>669789.45317552215</v>
      </c>
      <c r="C260" s="1">
        <f t="shared" si="27"/>
        <v>120778437.23053931</v>
      </c>
      <c r="D260" s="1">
        <f t="shared" si="28"/>
        <v>51973500.484096661</v>
      </c>
      <c r="E260" s="1">
        <f t="shared" si="29"/>
        <v>223623994.18660128</v>
      </c>
      <c r="F260" s="1">
        <f t="shared" ref="F260:F295" si="31">F261+($M$9 *F261-E260)/D261*(A260-A261)</f>
        <v>14019076084.040985</v>
      </c>
    </row>
    <row r="261" spans="1:6" x14ac:dyDescent="0.35">
      <c r="A261" s="1">
        <f t="shared" si="30"/>
        <v>259000000</v>
      </c>
      <c r="B261">
        <f t="shared" si="26"/>
        <v>671834.84732082102</v>
      </c>
      <c r="C261" s="1">
        <f t="shared" si="27"/>
        <v>121447852.74872161</v>
      </c>
      <c r="D261" s="1">
        <f t="shared" si="28"/>
        <v>51029716.714581743</v>
      </c>
      <c r="E261" s="1">
        <f t="shared" si="29"/>
        <v>225118470.78146273</v>
      </c>
      <c r="F261" s="1">
        <f t="shared" si="31"/>
        <v>14020188764.744778</v>
      </c>
    </row>
    <row r="262" spans="1:6" x14ac:dyDescent="0.35">
      <c r="A262" s="1">
        <f t="shared" si="30"/>
        <v>260000000</v>
      </c>
      <c r="B262">
        <f t="shared" si="26"/>
        <v>673878.56950247032</v>
      </c>
      <c r="C262" s="1">
        <f t="shared" si="27"/>
        <v>122118377.4206043</v>
      </c>
      <c r="D262" s="1">
        <f t="shared" si="28"/>
        <v>50062013.001568124</v>
      </c>
      <c r="E262" s="1">
        <f t="shared" si="29"/>
        <v>226616197.90175369</v>
      </c>
      <c r="F262" s="1">
        <f t="shared" si="31"/>
        <v>14021293542.534426</v>
      </c>
    </row>
    <row r="263" spans="1:6" x14ac:dyDescent="0.35">
      <c r="A263" s="1">
        <f t="shared" si="30"/>
        <v>261000000</v>
      </c>
      <c r="B263">
        <f t="shared" si="26"/>
        <v>675920.62750997674</v>
      </c>
      <c r="C263" s="1">
        <f t="shared" si="27"/>
        <v>122790008.807358</v>
      </c>
      <c r="D263" s="1">
        <f t="shared" si="28"/>
        <v>49070212.688440472</v>
      </c>
      <c r="E263" s="1">
        <f t="shared" si="29"/>
        <v>228117167.7708402</v>
      </c>
      <c r="F263" s="1">
        <f t="shared" si="31"/>
        <v>14022390574.942638</v>
      </c>
    </row>
    <row r="264" spans="1:6" x14ac:dyDescent="0.35">
      <c r="A264" s="1">
        <f t="shared" si="30"/>
        <v>262000000</v>
      </c>
      <c r="B264">
        <f t="shared" si="26"/>
        <v>677961.02906685334</v>
      </c>
      <c r="C264" s="1">
        <f t="shared" si="27"/>
        <v>123462744.48484634</v>
      </c>
      <c r="D264" s="1">
        <f t="shared" si="28"/>
        <v>48054139.103890583</v>
      </c>
      <c r="E264" s="1">
        <f t="shared" si="29"/>
        <v>229621372.66185659</v>
      </c>
      <c r="F264" s="1">
        <f t="shared" si="31"/>
        <v>14023480021.838207</v>
      </c>
    </row>
    <row r="265" spans="1:6" x14ac:dyDescent="0.35">
      <c r="A265" s="1">
        <f t="shared" si="30"/>
        <v>263000000</v>
      </c>
      <c r="B265">
        <f t="shared" si="26"/>
        <v>679999.78183144319</v>
      </c>
      <c r="C265" s="1">
        <f t="shared" si="27"/>
        <v>124136582.04348341</v>
      </c>
      <c r="D265" s="1">
        <f t="shared" si="28"/>
        <v>47013615.562059671</v>
      </c>
      <c r="E265" s="1">
        <f t="shared" si="29"/>
        <v>231128804.89719439</v>
      </c>
      <c r="F265" s="1">
        <f t="shared" si="31"/>
        <v>14024562046.006102</v>
      </c>
    </row>
    <row r="266" spans="1:6" x14ac:dyDescent="0.35">
      <c r="A266" s="1">
        <f t="shared" si="30"/>
        <v>264000000</v>
      </c>
      <c r="B266">
        <f t="shared" si="26"/>
        <v>682036.89339771017</v>
      </c>
      <c r="C266" s="1">
        <f t="shared" si="27"/>
        <v>124811519.08809045</v>
      </c>
      <c r="D266" s="1">
        <f t="shared" si="28"/>
        <v>45948465.362681985</v>
      </c>
      <c r="E266" s="1">
        <f t="shared" si="29"/>
        <v>232639456.84799457</v>
      </c>
      <c r="F266" s="1">
        <f t="shared" si="31"/>
        <v>14025636813.813673</v>
      </c>
    </row>
    <row r="267" spans="1:6" x14ac:dyDescent="0.35">
      <c r="A267" s="1">
        <f t="shared" si="30"/>
        <v>265000000</v>
      </c>
      <c r="B267">
        <f t="shared" si="26"/>
        <v>684072.3712960144</v>
      </c>
      <c r="C267" s="1">
        <f t="shared" si="27"/>
        <v>125487553.23775478</v>
      </c>
      <c r="D267" s="1">
        <f t="shared" si="28"/>
        <v>44858511.791225448</v>
      </c>
      <c r="E267" s="1">
        <f t="shared" si="29"/>
        <v>234153320.93364775</v>
      </c>
      <c r="F267" s="1">
        <f t="shared" si="31"/>
        <v>14026704495.980539</v>
      </c>
    </row>
    <row r="268" spans="1:6" x14ac:dyDescent="0.35">
      <c r="A268" s="1">
        <f t="shared" si="30"/>
        <v>266000000</v>
      </c>
      <c r="B268">
        <f t="shared" si="26"/>
        <v>686106.22299389413</v>
      </c>
      <c r="C268" s="1">
        <f t="shared" si="27"/>
        <v>126164682.12569267</v>
      </c>
      <c r="D268" s="1">
        <f t="shared" si="28"/>
        <v>43743578.119029164</v>
      </c>
      <c r="E268" s="1">
        <f t="shared" si="29"/>
        <v>235670389.62130442</v>
      </c>
      <c r="F268" s="1">
        <f t="shared" si="31"/>
        <v>14027765268.474037</v>
      </c>
    </row>
    <row r="269" spans="1:6" x14ac:dyDescent="0.35">
      <c r="A269" s="1">
        <f t="shared" si="30"/>
        <v>267000000</v>
      </c>
      <c r="B269">
        <f t="shared" si="26"/>
        <v>688138.45589681796</v>
      </c>
      <c r="C269" s="1">
        <f t="shared" si="27"/>
        <v>126842903.39911196</v>
      </c>
      <c r="D269" s="1">
        <f t="shared" si="28"/>
        <v>42603487.603440762</v>
      </c>
      <c r="E269" s="1">
        <f t="shared" si="29"/>
        <v>237190655.42538914</v>
      </c>
      <c r="F269" s="1">
        <f t="shared" si="31"/>
        <v>14028819313.557571</v>
      </c>
    </row>
    <row r="270" spans="1:6" x14ac:dyDescent="0.35">
      <c r="A270" s="1">
        <f t="shared" si="30"/>
        <v>268000000</v>
      </c>
      <c r="B270">
        <f t="shared" si="26"/>
        <v>690169.07734893297</v>
      </c>
      <c r="C270" s="1">
        <f t="shared" si="27"/>
        <v>127522214.71907693</v>
      </c>
      <c r="D270" s="1">
        <f t="shared" si="28"/>
        <v>41438063.487951249</v>
      </c>
      <c r="E270" s="1">
        <f t="shared" si="29"/>
        <v>238714110.90712094</v>
      </c>
      <c r="F270" s="1">
        <f t="shared" si="31"/>
        <v>14029866821.026344</v>
      </c>
    </row>
    <row r="271" spans="1:6" x14ac:dyDescent="0.35">
      <c r="A271" s="1">
        <f t="shared" si="30"/>
        <v>269000000</v>
      </c>
      <c r="B271">
        <f t="shared" si="26"/>
        <v>692198.09463379881</v>
      </c>
      <c r="C271" s="1">
        <f t="shared" si="27"/>
        <v>128202613.76037589</v>
      </c>
      <c r="D271" s="1">
        <f t="shared" si="28"/>
        <v>40247129.002327681</v>
      </c>
      <c r="E271" s="1">
        <f t="shared" si="29"/>
        <v>240240748.67404369</v>
      </c>
      <c r="F271" s="1">
        <f t="shared" si="31"/>
        <v>14030907989.674273</v>
      </c>
    </row>
    <row r="272" spans="1:6" x14ac:dyDescent="0.35">
      <c r="A272" s="1">
        <f t="shared" si="30"/>
        <v>270000000</v>
      </c>
      <c r="B272">
        <f t="shared" si="26"/>
        <v>694225.51497510739</v>
      </c>
      <c r="C272" s="1">
        <f t="shared" si="27"/>
        <v>128884098.21138914</v>
      </c>
      <c r="D272" s="1">
        <f t="shared" si="28"/>
        <v>39030507.362745181</v>
      </c>
      <c r="E272" s="1">
        <f t="shared" si="29"/>
        <v>241770561.37955925</v>
      </c>
      <c r="F272" s="1">
        <f t="shared" si="31"/>
        <v>14031943029.048254</v>
      </c>
    </row>
    <row r="273" spans="1:6" x14ac:dyDescent="0.35">
      <c r="A273" s="1">
        <f t="shared" si="30"/>
        <v>271000000</v>
      </c>
      <c r="B273">
        <f t="shared" si="26"/>
        <v>696251.34553740104</v>
      </c>
      <c r="C273" s="1">
        <f t="shared" si="27"/>
        <v>129566665.7739601</v>
      </c>
      <c r="D273" s="1">
        <f t="shared" si="28"/>
        <v>37788021.77191551</v>
      </c>
      <c r="E273" s="1">
        <f t="shared" si="29"/>
        <v>243303541.72246993</v>
      </c>
      <c r="F273" s="1">
        <f t="shared" si="31"/>
        <v>14032972161.562426</v>
      </c>
    </row>
    <row r="274" spans="1:6" x14ac:dyDescent="0.35">
      <c r="A274" s="1">
        <f t="shared" si="30"/>
        <v>272000000</v>
      </c>
      <c r="B274">
        <f t="shared" si="26"/>
        <v>698275.59342676867</v>
      </c>
      <c r="C274" s="1">
        <f t="shared" si="27"/>
        <v>130250314.16326721</v>
      </c>
      <c r="D274" s="1">
        <f t="shared" si="28"/>
        <v>36519495.419215843</v>
      </c>
      <c r="E274" s="1">
        <f t="shared" si="29"/>
        <v>244839682.44652587</v>
      </c>
      <c r="F274" s="1">
        <f t="shared" si="31"/>
        <v>14033995625.067324</v>
      </c>
    </row>
    <row r="275" spans="1:6" x14ac:dyDescent="0.35">
      <c r="A275" s="1">
        <f t="shared" si="30"/>
        <v>273000000</v>
      </c>
      <c r="B275">
        <f t="shared" si="26"/>
        <v>700298.2656915416</v>
      </c>
      <c r="C275" s="1">
        <f t="shared" si="27"/>
        <v>130935041.10769804</v>
      </c>
      <c r="D275" s="1">
        <f t="shared" si="28"/>
        <v>35224751.480813846</v>
      </c>
      <c r="E275" s="1">
        <f t="shared" si="29"/>
        <v>246378976.33997884</v>
      </c>
      <c r="F275" s="1">
        <f t="shared" si="31"/>
        <v>14035013675.999294</v>
      </c>
    </row>
    <row r="276" spans="1:6" x14ac:dyDescent="0.35">
      <c r="A276" s="1">
        <f t="shared" si="30"/>
        <v>274000000</v>
      </c>
      <c r="B276">
        <f t="shared" si="26"/>
        <v>702319.36932296283</v>
      </c>
      <c r="C276" s="1">
        <f t="shared" si="27"/>
        <v>131620844.34872408</v>
      </c>
      <c r="D276" s="1">
        <f t="shared" si="28"/>
        <v>33903613.11979337</v>
      </c>
      <c r="E276" s="1">
        <f t="shared" si="29"/>
        <v>247921416.23514172</v>
      </c>
      <c r="F276" s="1">
        <f t="shared" si="31"/>
        <v>14036026593.277586</v>
      </c>
    </row>
    <row r="277" spans="1:6" x14ac:dyDescent="0.35">
      <c r="A277" s="1">
        <f t="shared" si="30"/>
        <v>275000000</v>
      </c>
      <c r="B277">
        <f t="shared" si="26"/>
        <v>704338.91125586245</v>
      </c>
      <c r="C277" s="1">
        <f t="shared" si="27"/>
        <v>132307721.64077821</v>
      </c>
      <c r="D277" s="1">
        <f t="shared" si="28"/>
        <v>32555903.486276984</v>
      </c>
      <c r="E277" s="1">
        <f t="shared" si="29"/>
        <v>249466995.00795424</v>
      </c>
      <c r="F277" s="1">
        <f t="shared" si="31"/>
        <v>14037034683.175695</v>
      </c>
    </row>
    <row r="278" spans="1:6" x14ac:dyDescent="0.35">
      <c r="A278" s="1">
        <f t="shared" si="30"/>
        <v>276000000</v>
      </c>
      <c r="B278">
        <f t="shared" si="26"/>
        <v>706356.8983693195</v>
      </c>
      <c r="C278" s="1">
        <f t="shared" si="27"/>
        <v>132995670.75113407</v>
      </c>
      <c r="D278" s="1">
        <f t="shared" si="28"/>
        <v>31181445.717546314</v>
      </c>
      <c r="E278" s="1">
        <f t="shared" si="29"/>
        <v>251015705.5775561</v>
      </c>
      <c r="F278" s="1">
        <f t="shared" si="31"/>
        <v>14038038285.477688</v>
      </c>
    </row>
    <row r="279" spans="1:6" x14ac:dyDescent="0.35">
      <c r="A279" s="1">
        <f t="shared" si="30"/>
        <v>277000000</v>
      </c>
      <c r="B279">
        <f t="shared" si="26"/>
        <v>708373.33748730342</v>
      </c>
      <c r="C279" s="1">
        <f t="shared" si="27"/>
        <v>133684689.45978551</v>
      </c>
      <c r="D279" s="1">
        <f t="shared" si="28"/>
        <v>29780062.938162968</v>
      </c>
      <c r="E279" s="1">
        <f t="shared" si="29"/>
        <v>252567540.90586346</v>
      </c>
      <c r="F279" s="1">
        <f t="shared" si="31"/>
        <v>14039037781.352203</v>
      </c>
    </row>
    <row r="280" spans="1:6" x14ac:dyDescent="0.35">
      <c r="A280" s="1">
        <f t="shared" si="30"/>
        <v>278000000</v>
      </c>
      <c r="B280">
        <f t="shared" si="26"/>
        <v>710388.2353793137</v>
      </c>
      <c r="C280" s="1">
        <f t="shared" si="27"/>
        <v>134374775.55932826</v>
      </c>
      <c r="D280" s="1">
        <f t="shared" si="28"/>
        <v>28351578.260086596</v>
      </c>
      <c r="E280" s="1">
        <f t="shared" si="29"/>
        <v>254122493.99715132</v>
      </c>
      <c r="F280" s="1">
        <f t="shared" si="31"/>
        <v>14040033603.556747</v>
      </c>
    </row>
    <row r="281" spans="1:6" x14ac:dyDescent="0.35">
      <c r="A281" s="1">
        <f t="shared" si="30"/>
        <v>279000000</v>
      </c>
      <c r="B281">
        <f t="shared" si="26"/>
        <v>712401.59876101848</v>
      </c>
      <c r="C281" s="1">
        <f t="shared" si="27"/>
        <v>135065926.85484475</v>
      </c>
      <c r="D281" s="1">
        <f t="shared" si="28"/>
        <v>26895814.782789946</v>
      </c>
      <c r="E281" s="1">
        <f t="shared" si="29"/>
        <v>255680557.897645</v>
      </c>
      <c r="F281" s="1">
        <f t="shared" si="31"/>
        <v>14041026249.855644</v>
      </c>
    </row>
    <row r="282" spans="1:6" x14ac:dyDescent="0.35">
      <c r="A282" s="1">
        <f t="shared" si="30"/>
        <v>280000000</v>
      </c>
      <c r="B282">
        <f t="shared" si="26"/>
        <v>714413.43429485778</v>
      </c>
      <c r="C282" s="1">
        <f t="shared" si="27"/>
        <v>135758141.16378683</v>
      </c>
      <c r="D282" s="1">
        <f t="shared" si="28"/>
        <v>25412595.593376786</v>
      </c>
      <c r="E282" s="1">
        <f t="shared" si="29"/>
        <v>257241725.69511124</v>
      </c>
      <c r="F282" s="1">
        <f t="shared" si="31"/>
        <v>14042016300.951721</v>
      </c>
    </row>
    <row r="283" spans="1:6" x14ac:dyDescent="0.35">
      <c r="A283" s="1">
        <f t="shared" si="30"/>
        <v>281000000</v>
      </c>
      <c r="B283">
        <f t="shared" si="26"/>
        <v>716423.7485906689</v>
      </c>
      <c r="C283" s="1">
        <f t="shared" si="27"/>
        <v>136451416.31586397</v>
      </c>
      <c r="D283" s="1">
        <f t="shared" si="28"/>
        <v>23901743.766692847</v>
      </c>
      <c r="E283" s="1">
        <f t="shared" si="29"/>
        <v>258805990.51846039</v>
      </c>
      <c r="F283" s="1">
        <f t="shared" si="31"/>
        <v>14043004444.889385</v>
      </c>
    </row>
    <row r="284" spans="1:6" x14ac:dyDescent="0.35">
      <c r="A284" s="1">
        <f t="shared" si="30"/>
        <v>282000000</v>
      </c>
      <c r="B284">
        <f t="shared" si="26"/>
        <v>718432.54820627824</v>
      </c>
      <c r="C284" s="1">
        <f t="shared" si="27"/>
        <v>137145750.15292957</v>
      </c>
      <c r="D284" s="1">
        <f t="shared" si="28"/>
        <v>22363082.365440071</v>
      </c>
      <c r="E284" s="1">
        <f t="shared" si="29"/>
        <v>260373345.53734928</v>
      </c>
      <c r="F284" s="1">
        <f t="shared" si="31"/>
        <v>14043991510.953888</v>
      </c>
    </row>
    <row r="285" spans="1:6" x14ac:dyDescent="0.35">
      <c r="A285" s="1">
        <f t="shared" si="30"/>
        <v>283000000</v>
      </c>
      <c r="B285">
        <f t="shared" si="26"/>
        <v>720439.83964809822</v>
      </c>
      <c r="C285" s="1">
        <f t="shared" si="27"/>
        <v>137841140.52887145</v>
      </c>
      <c r="D285" s="1">
        <f t="shared" si="28"/>
        <v>20796434.44028616</v>
      </c>
      <c r="E285" s="1">
        <f t="shared" si="29"/>
        <v>261943783.9617939</v>
      </c>
      <c r="F285" s="1">
        <f t="shared" si="31"/>
        <v>14044978517.879482</v>
      </c>
    </row>
    <row r="286" spans="1:6" x14ac:dyDescent="0.35">
      <c r="A286" s="1">
        <f t="shared" si="30"/>
        <v>284000000</v>
      </c>
      <c r="B286">
        <f t="shared" si="26"/>
        <v>722445.62937170616</v>
      </c>
      <c r="C286" s="1">
        <f t="shared" si="27"/>
        <v>138537585.30950123</v>
      </c>
      <c r="D286" s="1">
        <f t="shared" si="28"/>
        <v>19201623.029974669</v>
      </c>
      <c r="E286" s="1">
        <f t="shared" si="29"/>
        <v>263517299.04178232</v>
      </c>
      <c r="F286" s="1">
        <f t="shared" si="31"/>
        <v>14045966744.285881</v>
      </c>
    </row>
    <row r="287" spans="1:6" x14ac:dyDescent="0.35">
      <c r="A287" s="1">
        <f t="shared" si="30"/>
        <v>285000000</v>
      </c>
      <c r="B287">
        <f t="shared" si="26"/>
        <v>724449.92378242733</v>
      </c>
      <c r="C287" s="1">
        <f t="shared" si="27"/>
        <v>139235082.37244746</v>
      </c>
      <c r="D287" s="1">
        <f t="shared" si="28"/>
        <v>17578471.161432624</v>
      </c>
      <c r="E287" s="1">
        <f t="shared" si="29"/>
        <v>265093884.0668968</v>
      </c>
      <c r="F287" s="1">
        <f t="shared" si="31"/>
        <v>14046957834.893026</v>
      </c>
    </row>
    <row r="288" spans="1:6" x14ac:dyDescent="0.35">
      <c r="A288" s="1">
        <f t="shared" si="30"/>
        <v>286000000</v>
      </c>
      <c r="B288">
        <f t="shared" si="26"/>
        <v>726452.72923588532</v>
      </c>
      <c r="C288" s="1">
        <f t="shared" si="27"/>
        <v>139933629.60704732</v>
      </c>
      <c r="D288" s="1">
        <f t="shared" si="28"/>
        <v>15926801.849878073</v>
      </c>
      <c r="E288" s="1">
        <f t="shared" si="29"/>
        <v>266673532.36593735</v>
      </c>
      <c r="F288" s="1">
        <f t="shared" si="31"/>
        <v>14047953966.785566</v>
      </c>
    </row>
    <row r="289" spans="1:7" x14ac:dyDescent="0.35">
      <c r="A289" s="1">
        <f t="shared" si="30"/>
        <v>287000000</v>
      </c>
      <c r="B289">
        <f t="shared" si="26"/>
        <v>728454.05203858134</v>
      </c>
      <c r="C289" s="1">
        <f t="shared" si="27"/>
        <v>140633224.91424328</v>
      </c>
      <c r="D289" s="1">
        <f t="shared" si="28"/>
        <v>14246438.098923892</v>
      </c>
      <c r="E289" s="1">
        <f t="shared" si="29"/>
        <v>268256237.30655393</v>
      </c>
      <c r="F289" s="1">
        <f t="shared" si="31"/>
        <v>14048958121.646427</v>
      </c>
    </row>
    <row r="290" spans="1:7" x14ac:dyDescent="0.35">
      <c r="A290" s="1">
        <f t="shared" si="30"/>
        <v>288000000</v>
      </c>
      <c r="B290">
        <f t="shared" si="26"/>
        <v>730453.89844842604</v>
      </c>
      <c r="C290" s="1">
        <f t="shared" si="27"/>
        <v>141333866.20647782</v>
      </c>
      <c r="D290" s="1">
        <f t="shared" si="28"/>
        <v>12537202.900683045</v>
      </c>
      <c r="E290" s="1">
        <f t="shared" si="29"/>
        <v>269841992.29488099</v>
      </c>
      <c r="F290" s="1">
        <f t="shared" si="31"/>
        <v>14049974556.805889</v>
      </c>
    </row>
    <row r="291" spans="1:7" x14ac:dyDescent="0.35">
      <c r="A291" s="1">
        <f t="shared" si="30"/>
        <v>289000000</v>
      </c>
      <c r="B291">
        <f t="shared" si="26"/>
        <v>732452.27467528684</v>
      </c>
      <c r="C291" s="1">
        <f t="shared" si="27"/>
        <v>142035551.40759048</v>
      </c>
      <c r="D291" s="1">
        <f t="shared" si="28"/>
        <v>10798919.235871345</v>
      </c>
      <c r="E291" s="1">
        <f t="shared" si="29"/>
        <v>271430790.77517545</v>
      </c>
      <c r="F291" s="1">
        <f t="shared" si="31"/>
        <v>14051009679.028913</v>
      </c>
    </row>
    <row r="292" spans="1:7" x14ac:dyDescent="0.35">
      <c r="A292" s="1">
        <f t="shared" si="30"/>
        <v>290000000</v>
      </c>
      <c r="B292">
        <f t="shared" si="26"/>
        <v>734449.18688152637</v>
      </c>
      <c r="C292" s="1">
        <f t="shared" si="27"/>
        <v>142738278.45271692</v>
      </c>
      <c r="D292" s="1">
        <f t="shared" si="28"/>
        <v>9031410.0739084184</v>
      </c>
      <c r="E292" s="1">
        <f t="shared" si="29"/>
        <v>273022626.22946221</v>
      </c>
      <c r="F292" s="1">
        <f t="shared" si="31"/>
        <v>14052073819.127605</v>
      </c>
    </row>
    <row r="293" spans="1:7" x14ac:dyDescent="0.35">
      <c r="A293" s="1">
        <f t="shared" si="30"/>
        <v>291000000</v>
      </c>
      <c r="B293">
        <f t="shared" si="26"/>
        <v>736444.64118251984</v>
      </c>
      <c r="C293" s="1">
        <f t="shared" si="27"/>
        <v>143442045.2881889</v>
      </c>
      <c r="D293" s="1">
        <f t="shared" si="28"/>
        <v>7234498.3730179667</v>
      </c>
      <c r="E293" s="1">
        <f t="shared" si="29"/>
        <v>274617492.17718458</v>
      </c>
      <c r="F293" s="1">
        <f t="shared" si="31"/>
        <v>14053185310.147284</v>
      </c>
    </row>
    <row r="294" spans="1:7" x14ac:dyDescent="0.35">
      <c r="A294" s="1">
        <f t="shared" si="30"/>
        <v>292000000</v>
      </c>
      <c r="B294">
        <f t="shared" si="26"/>
        <v>738438.64364718215</v>
      </c>
      <c r="C294" s="1">
        <f t="shared" si="27"/>
        <v>144146849.87143469</v>
      </c>
      <c r="D294" s="1">
        <f t="shared" si="28"/>
        <v>5408007.0803269744</v>
      </c>
      <c r="E294" s="1">
        <f t="shared" si="29"/>
        <v>276215382.17485482</v>
      </c>
      <c r="F294" s="1">
        <f t="shared" si="31"/>
        <v>14054381710.584339</v>
      </c>
    </row>
    <row r="295" spans="1:7" x14ac:dyDescent="0.35">
      <c r="A295" s="1">
        <f t="shared" si="30"/>
        <v>293000000</v>
      </c>
      <c r="B295">
        <f t="shared" si="26"/>
        <v>740431.20029847277</v>
      </c>
      <c r="C295" s="1">
        <f t="shared" si="27"/>
        <v>144852690.17088154</v>
      </c>
      <c r="D295" s="1">
        <f t="shared" si="28"/>
        <v>3551759.1319637001</v>
      </c>
      <c r="E295" s="1">
        <f t="shared" si="29"/>
        <v>277816289.81571388</v>
      </c>
      <c r="F295" s="1">
        <f t="shared" si="31"/>
        <v>14055761264.470882</v>
      </c>
    </row>
    <row r="296" spans="1:7" x14ac:dyDescent="0.35">
      <c r="A296" s="1">
        <f t="shared" si="30"/>
        <v>294000000</v>
      </c>
      <c r="B296">
        <f t="shared" si="26"/>
        <v>742422.31711390254</v>
      </c>
      <c r="C296" s="1">
        <f t="shared" si="27"/>
        <v>145559564.16585943</v>
      </c>
      <c r="D296" s="1">
        <f t="shared" si="28"/>
        <v>1665577.4531535208</v>
      </c>
      <c r="E296" s="1">
        <f t="shared" si="29"/>
        <v>279420208.72939342</v>
      </c>
      <c r="F296" s="1">
        <f>F297+($M$9 *F297-E296)/D297*(A296-A297)</f>
        <v>14057765992.639334</v>
      </c>
    </row>
    <row r="297" spans="1:7" x14ac:dyDescent="0.35">
      <c r="A297" s="1">
        <f t="shared" si="30"/>
        <v>295000000</v>
      </c>
      <c r="B297">
        <f t="shared" si="26"/>
        <v>744412.00002602662</v>
      </c>
      <c r="C297" s="1">
        <f t="shared" si="27"/>
        <v>146267469.84650493</v>
      </c>
      <c r="D297" s="1">
        <f t="shared" si="28"/>
        <v>-250715.04168498516</v>
      </c>
      <c r="E297" s="1">
        <f t="shared" si="29"/>
        <v>281027132.58158123</v>
      </c>
      <c r="F297" s="1">
        <f>E297/$M$9</f>
        <v>14051356629.079062</v>
      </c>
      <c r="G297" s="2"/>
    </row>
    <row r="298" spans="1:7" x14ac:dyDescent="0.35">
      <c r="A298" s="1">
        <f t="shared" si="30"/>
        <v>296000000</v>
      </c>
      <c r="B298">
        <f t="shared" si="26"/>
        <v>746400.25492293586</v>
      </c>
      <c r="C298" s="1">
        <f t="shared" si="27"/>
        <v>146976405.21366739</v>
      </c>
      <c r="D298" s="1">
        <f t="shared" si="28"/>
        <v>-2197295.4488455653</v>
      </c>
      <c r="E298" s="1">
        <f t="shared" si="29"/>
        <v>282637055.0736928</v>
      </c>
      <c r="F298" s="1">
        <f>F297+($M$9 *F297-E298)/D298*(A298-A297)</f>
        <v>14052089312.748413</v>
      </c>
    </row>
    <row r="299" spans="1:7" x14ac:dyDescent="0.35">
      <c r="A299" s="1">
        <f t="shared" si="30"/>
        <v>297000000</v>
      </c>
      <c r="B299">
        <f t="shared" si="26"/>
        <v>748387.0876487426</v>
      </c>
      <c r="C299" s="1">
        <f t="shared" si="27"/>
        <v>147686368.27881604</v>
      </c>
      <c r="D299" s="1">
        <f t="shared" si="28"/>
        <v>-4174340.8752422631</v>
      </c>
      <c r="E299" s="1">
        <f t="shared" si="29"/>
        <v>284249969.94254571</v>
      </c>
      <c r="F299" s="1">
        <f t="shared" ref="F299:F362" si="32">F298+($M$9 *F298-E299)/D299*(A299-A298)</f>
        <v>14052857861.312956</v>
      </c>
    </row>
    <row r="300" spans="1:7" x14ac:dyDescent="0.35">
      <c r="A300" s="1">
        <f t="shared" si="30"/>
        <v>298000000</v>
      </c>
      <c r="B300">
        <f t="shared" si="26"/>
        <v>750372.50400404574</v>
      </c>
      <c r="C300" s="1">
        <f t="shared" si="27"/>
        <v>148397357.06394711</v>
      </c>
      <c r="D300" s="1">
        <f t="shared" si="28"/>
        <v>-6182028.4383157194</v>
      </c>
      <c r="E300" s="1">
        <f t="shared" si="29"/>
        <v>285865870.96003824</v>
      </c>
      <c r="F300" s="1">
        <f t="shared" si="32"/>
        <v>14053635715.01935</v>
      </c>
    </row>
    <row r="301" spans="1:7" x14ac:dyDescent="0.35">
      <c r="A301" s="1">
        <f t="shared" si="30"/>
        <v>299000000</v>
      </c>
      <c r="B301">
        <f t="shared" si="26"/>
        <v>752356.50974641356</v>
      </c>
      <c r="C301" s="1">
        <f t="shared" si="27"/>
        <v>149109369.60149419</v>
      </c>
      <c r="D301" s="1">
        <f t="shared" si="28"/>
        <v>-8220535.2659443021</v>
      </c>
      <c r="E301" s="1">
        <f t="shared" si="29"/>
        <v>287484751.93283308</v>
      </c>
      <c r="F301" s="1">
        <f t="shared" si="32"/>
        <v>14054415717.467489</v>
      </c>
    </row>
    <row r="302" spans="1:7" x14ac:dyDescent="0.35">
      <c r="A302" s="1">
        <f t="shared" si="30"/>
        <v>300000000</v>
      </c>
      <c r="B302">
        <f t="shared" si="26"/>
        <v>754339.11059083475</v>
      </c>
      <c r="C302" s="1">
        <f t="shared" si="27"/>
        <v>149822403.9342373</v>
      </c>
      <c r="D302" s="1">
        <f t="shared" si="28"/>
        <v>-10290038.496352762</v>
      </c>
      <c r="E302" s="1">
        <f t="shared" si="29"/>
        <v>289106606.70204306</v>
      </c>
      <c r="F302" s="1">
        <f t="shared" si="32"/>
        <v>14055194946.073441</v>
      </c>
    </row>
    <row r="303" spans="1:7" x14ac:dyDescent="0.35">
      <c r="A303" s="1">
        <f t="shared" si="30"/>
        <v>301000000</v>
      </c>
      <c r="B303">
        <f t="shared" si="26"/>
        <v>756320.31221018033</v>
      </c>
      <c r="C303" s="1">
        <f t="shared" si="27"/>
        <v>150536458.11521506</v>
      </c>
      <c r="D303" s="1">
        <f t="shared" si="28"/>
        <v>-12390715.278024167</v>
      </c>
      <c r="E303" s="1">
        <f t="shared" si="29"/>
        <v>290731429.14292312</v>
      </c>
      <c r="F303" s="1">
        <f t="shared" si="32"/>
        <v>14055971941.590281</v>
      </c>
    </row>
    <row r="304" spans="1:7" x14ac:dyDescent="0.35">
      <c r="A304" s="1">
        <f t="shared" si="30"/>
        <v>302000000</v>
      </c>
      <c r="B304">
        <f t="shared" si="26"/>
        <v>758300.12023564463</v>
      </c>
      <c r="C304" s="1">
        <f t="shared" si="27"/>
        <v>151251530.20763573</v>
      </c>
      <c r="D304" s="1">
        <f t="shared" si="28"/>
        <v>-14522742.769611448</v>
      </c>
      <c r="E304" s="1">
        <f t="shared" si="29"/>
        <v>292359213.16456288</v>
      </c>
      <c r="F304" s="1">
        <f t="shared" si="32"/>
        <v>14056745884.536945</v>
      </c>
    </row>
    <row r="305" spans="1:6" x14ac:dyDescent="0.35">
      <c r="A305" s="1">
        <f t="shared" si="30"/>
        <v>303000000</v>
      </c>
      <c r="B305">
        <f t="shared" si="26"/>
        <v>760278.54025720432</v>
      </c>
      <c r="C305" s="1">
        <f t="shared" si="27"/>
        <v>151967618.28479227</v>
      </c>
      <c r="D305" s="1">
        <f t="shared" si="28"/>
        <v>-16686298.139852375</v>
      </c>
      <c r="E305" s="1">
        <f t="shared" si="29"/>
        <v>293989952.70958692</v>
      </c>
      <c r="F305" s="1">
        <f t="shared" si="32"/>
        <v>14057516279.199146</v>
      </c>
    </row>
    <row r="306" spans="1:6" x14ac:dyDescent="0.35">
      <c r="A306" s="1">
        <f t="shared" si="30"/>
        <v>304000000</v>
      </c>
      <c r="B306">
        <f t="shared" si="26"/>
        <v>762255.57782403566</v>
      </c>
      <c r="C306" s="1">
        <f t="shared" si="27"/>
        <v>152684720.42997512</v>
      </c>
      <c r="D306" s="1">
        <f t="shared" si="28"/>
        <v>-18881558.567481801</v>
      </c>
      <c r="E306" s="1">
        <f t="shared" si="29"/>
        <v>295623641.75385535</v>
      </c>
      <c r="F306" s="1">
        <f t="shared" si="32"/>
        <v>14058282811.057104</v>
      </c>
    </row>
    <row r="307" spans="1:6" x14ac:dyDescent="0.35">
      <c r="A307" s="1">
        <f t="shared" si="30"/>
        <v>305000000</v>
      </c>
      <c r="B307">
        <f t="shared" si="26"/>
        <v>764231.23844495788</v>
      </c>
      <c r="C307" s="1">
        <f t="shared" si="27"/>
        <v>153402834.73638839</v>
      </c>
      <c r="D307" s="1">
        <f t="shared" si="28"/>
        <v>-21108701.241148636</v>
      </c>
      <c r="E307" s="1">
        <f t="shared" si="29"/>
        <v>297260274.30617011</v>
      </c>
      <c r="F307" s="1">
        <f t="shared" si="32"/>
        <v>14059045274.73979</v>
      </c>
    </row>
    <row r="308" spans="1:6" x14ac:dyDescent="0.35">
      <c r="A308" s="1">
        <f t="shared" si="30"/>
        <v>306000000</v>
      </c>
      <c r="B308">
        <f t="shared" si="26"/>
        <v>766205.52758885594</v>
      </c>
      <c r="C308" s="1">
        <f t="shared" si="27"/>
        <v>154121959.30706617</v>
      </c>
      <c r="D308" s="1">
        <f t="shared" si="28"/>
        <v>-23367903.359331459</v>
      </c>
      <c r="E308" s="1">
        <f t="shared" si="29"/>
        <v>298899844.40798372</v>
      </c>
      <c r="F308" s="1">
        <f t="shared" si="32"/>
        <v>14059803534.419348</v>
      </c>
    </row>
    <row r="309" spans="1:6" x14ac:dyDescent="0.35">
      <c r="A309" s="1">
        <f t="shared" si="30"/>
        <v>307000000</v>
      </c>
      <c r="B309">
        <f t="shared" si="26"/>
        <v>768178.45068510075</v>
      </c>
      <c r="C309" s="1">
        <f t="shared" si="27"/>
        <v>154842092.25479001</v>
      </c>
      <c r="D309" s="1">
        <f t="shared" si="28"/>
        <v>-25659342.130256489</v>
      </c>
      <c r="E309" s="1">
        <f t="shared" si="29"/>
        <v>300542346.13311267</v>
      </c>
      <c r="F309" s="1">
        <f t="shared" si="32"/>
        <v>14060557500.57119</v>
      </c>
    </row>
    <row r="310" spans="1:6" x14ac:dyDescent="0.35">
      <c r="A310" s="1">
        <f t="shared" si="30"/>
        <v>308000000</v>
      </c>
      <c r="B310">
        <f t="shared" si="26"/>
        <v>770150.01312395604</v>
      </c>
      <c r="C310" s="1">
        <f t="shared" si="27"/>
        <v>155563231.70200673</v>
      </c>
      <c r="D310" s="1">
        <f t="shared" si="28"/>
        <v>-27983194.771815345</v>
      </c>
      <c r="E310" s="1">
        <f t="shared" si="29"/>
        <v>302187773.58745295</v>
      </c>
      <c r="F310" s="1">
        <f t="shared" si="32"/>
        <v>14061307115.607897</v>
      </c>
    </row>
    <row r="311" spans="1:6" x14ac:dyDescent="0.35">
      <c r="A311" s="1">
        <f t="shared" si="30"/>
        <v>309000000</v>
      </c>
      <c r="B311">
        <f t="shared" si="26"/>
        <v>772120.22025699331</v>
      </c>
      <c r="C311" s="1">
        <f t="shared" si="27"/>
        <v>156285375.78074792</v>
      </c>
      <c r="D311" s="1">
        <f t="shared" si="28"/>
        <v>-30339638.511484012</v>
      </c>
      <c r="E311" s="1">
        <f t="shared" si="29"/>
        <v>303836120.90869945</v>
      </c>
      <c r="F311" s="1">
        <f t="shared" si="32"/>
        <v>14062052344.612125</v>
      </c>
    </row>
    <row r="312" spans="1:6" x14ac:dyDescent="0.35">
      <c r="A312" s="1">
        <f t="shared" si="30"/>
        <v>310000000</v>
      </c>
      <c r="B312">
        <f t="shared" si="26"/>
        <v>774089.07739748736</v>
      </c>
      <c r="C312" s="1">
        <f t="shared" si="27"/>
        <v>157008522.63255036</v>
      </c>
      <c r="D312" s="1">
        <f t="shared" si="28"/>
        <v>-32728850.586244047</v>
      </c>
      <c r="E312" s="1">
        <f t="shared" si="29"/>
        <v>305487382.26607049</v>
      </c>
      <c r="F312" s="1">
        <f t="shared" si="32"/>
        <v>14062793169.142761</v>
      </c>
    </row>
    <row r="313" spans="1:6" x14ac:dyDescent="0.35">
      <c r="A313" s="1">
        <f t="shared" si="30"/>
        <v>311000000</v>
      </c>
      <c r="B313">
        <f t="shared" si="26"/>
        <v>776056.58982081839</v>
      </c>
      <c r="C313" s="1">
        <f t="shared" si="27"/>
        <v>157732670.40837657</v>
      </c>
      <c r="D313" s="1">
        <f t="shared" si="28"/>
        <v>-35151008.242502645</v>
      </c>
      <c r="E313" s="1">
        <f t="shared" si="29"/>
        <v>307141551.8600316</v>
      </c>
      <c r="F313" s="1">
        <f t="shared" si="32"/>
        <v>14063529582.969032</v>
      </c>
    </row>
    <row r="314" spans="1:6" x14ac:dyDescent="0.35">
      <c r="A314" s="1">
        <f t="shared" si="30"/>
        <v>312000000</v>
      </c>
      <c r="B314">
        <f t="shared" si="26"/>
        <v>778022.76276486507</v>
      </c>
      <c r="C314" s="1">
        <f t="shared" si="27"/>
        <v>158457817.26853788</v>
      </c>
      <c r="D314" s="1">
        <f t="shared" si="28"/>
        <v>-37606288.736015603</v>
      </c>
      <c r="E314" s="1">
        <f t="shared" si="29"/>
        <v>308798623.92202795</v>
      </c>
      <c r="F314" s="1">
        <f t="shared" si="32"/>
        <v>14064261589.05599</v>
      </c>
    </row>
    <row r="315" spans="1:6" x14ac:dyDescent="0.35">
      <c r="A315" s="1">
        <f t="shared" si="30"/>
        <v>313000000</v>
      </c>
      <c r="B315">
        <f t="shared" si="26"/>
        <v>779987.60143037979</v>
      </c>
      <c r="C315" s="1">
        <f t="shared" si="27"/>
        <v>159183961.38261577</v>
      </c>
      <c r="D315" s="1">
        <f t="shared" si="28"/>
        <v>-40094869.331809267</v>
      </c>
      <c r="E315" s="1">
        <f t="shared" si="29"/>
        <v>310458592.7142145</v>
      </c>
      <c r="F315" s="1">
        <f t="shared" si="32"/>
        <v>14064989197.386414</v>
      </c>
    </row>
    <row r="316" spans="1:6" x14ac:dyDescent="0.35">
      <c r="A316" s="1">
        <f t="shared" si="30"/>
        <v>314000000</v>
      </c>
      <c r="B316">
        <f t="shared" si="26"/>
        <v>781951.11098138115</v>
      </c>
      <c r="C316" s="1">
        <f t="shared" si="27"/>
        <v>159911100.92938736</v>
      </c>
      <c r="D316" s="1">
        <f t="shared" si="28"/>
        <v>-42616927.304105133</v>
      </c>
      <c r="E316" s="1">
        <f t="shared" si="29"/>
        <v>312121452.52919459</v>
      </c>
      <c r="F316" s="1">
        <f t="shared" si="32"/>
        <v>14065712423.356262</v>
      </c>
    </row>
    <row r="317" spans="1:6" x14ac:dyDescent="0.35">
      <c r="A317" s="1">
        <f t="shared" si="30"/>
        <v>315000000</v>
      </c>
      <c r="B317">
        <f t="shared" si="26"/>
        <v>783913.29654552077</v>
      </c>
      <c r="C317" s="1">
        <f t="shared" si="27"/>
        <v>160639234.09674835</v>
      </c>
      <c r="D317" s="1">
        <f t="shared" si="28"/>
        <v>-45172639.936243653</v>
      </c>
      <c r="E317" s="1">
        <f t="shared" si="29"/>
        <v>313787197.68975592</v>
      </c>
      <c r="F317" s="1">
        <f t="shared" si="32"/>
        <v>14066431286.572325</v>
      </c>
    </row>
    <row r="318" spans="1:6" x14ac:dyDescent="0.35">
      <c r="A318" s="1">
        <f t="shared" si="30"/>
        <v>316000000</v>
      </c>
      <c r="B318">
        <f t="shared" si="26"/>
        <v>785874.16321446246</v>
      </c>
      <c r="C318" s="1">
        <f t="shared" si="27"/>
        <v>161368359.08164012</v>
      </c>
      <c r="D318" s="1">
        <f t="shared" si="28"/>
        <v>-47762184.520610988</v>
      </c>
      <c r="E318" s="1">
        <f t="shared" si="29"/>
        <v>315455822.54861557</v>
      </c>
      <c r="F318" s="1">
        <f t="shared" si="32"/>
        <v>14067145809.937613</v>
      </c>
    </row>
    <row r="319" spans="1:6" x14ac:dyDescent="0.35">
      <c r="A319" s="1">
        <f t="shared" si="30"/>
        <v>317000000</v>
      </c>
      <c r="B319">
        <f t="shared" si="26"/>
        <v>787833.71604423912</v>
      </c>
      <c r="C319" s="1">
        <f t="shared" si="27"/>
        <v>162098474.08997488</v>
      </c>
      <c r="D319" s="1">
        <f t="shared" si="28"/>
        <v>-50385738.358563721</v>
      </c>
      <c r="E319" s="1">
        <f t="shared" si="29"/>
        <v>317127321.48816359</v>
      </c>
      <c r="F319" s="1">
        <f t="shared" si="32"/>
        <v>14067856018.946257</v>
      </c>
    </row>
    <row r="320" spans="1:6" x14ac:dyDescent="0.35">
      <c r="A320" s="1">
        <f t="shared" si="30"/>
        <v>318000000</v>
      </c>
      <c r="B320">
        <f t="shared" si="26"/>
        <v>789791.96005562483</v>
      </c>
      <c r="C320" s="1">
        <f t="shared" si="27"/>
        <v>162829577.33656439</v>
      </c>
      <c r="D320" s="1">
        <f t="shared" si="28"/>
        <v>-53043478.760358378</v>
      </c>
      <c r="E320" s="1">
        <f t="shared" si="29"/>
        <v>318801688.92021328</v>
      </c>
      <c r="F320" s="1">
        <f t="shared" si="32"/>
        <v>14068561941.133421</v>
      </c>
    </row>
    <row r="321" spans="1:6" x14ac:dyDescent="0.35">
      <c r="A321" s="1">
        <f t="shared" si="30"/>
        <v>319000000</v>
      </c>
      <c r="B321">
        <f t="shared" si="26"/>
        <v>791748.90023447142</v>
      </c>
      <c r="C321" s="1">
        <f t="shared" si="27"/>
        <v>163561667.04504514</v>
      </c>
      <c r="D321" s="1">
        <f t="shared" si="28"/>
        <v>-55735583.045076191</v>
      </c>
      <c r="E321" s="1">
        <f t="shared" si="29"/>
        <v>320478919.28574777</v>
      </c>
      <c r="F321" s="1">
        <f t="shared" si="32"/>
        <v>14069263605.641558</v>
      </c>
    </row>
    <row r="322" spans="1:6" x14ac:dyDescent="0.35">
      <c r="A322" s="1">
        <f t="shared" si="30"/>
        <v>320000000</v>
      </c>
      <c r="B322">
        <f t="shared" ref="B322:B362" si="33">$M$3*A322^$M$4</f>
        <v>793704.54153208702</v>
      </c>
      <c r="C322" s="1">
        <f t="shared" ref="C322:C362" si="34">$M$7*A322*B322^$M$8</f>
        <v>164294741.44781062</v>
      </c>
      <c r="D322" s="1">
        <f t="shared" ref="D322:D385" si="35">$M$1*A322*(A322/$M$10-1)*(1-A322/$M$2)-C322</f>
        <v>-58462228.54055506</v>
      </c>
      <c r="E322" s="1">
        <f t="shared" ref="E322:E362" si="36">$M$5*C322-$M$6*B322</f>
        <v>322159007.05467939</v>
      </c>
      <c r="F322" s="1">
        <f t="shared" si="32"/>
        <v>14069961042.875132</v>
      </c>
    </row>
    <row r="323" spans="1:6" x14ac:dyDescent="0.35">
      <c r="A323" s="1">
        <f t="shared" ref="A323:A362" si="37">A322+1000000</f>
        <v>321000000</v>
      </c>
      <c r="B323">
        <f t="shared" si="33"/>
        <v>795658.88886555715</v>
      </c>
      <c r="C323" s="1">
        <f t="shared" si="34"/>
        <v>165028798.78593832</v>
      </c>
      <c r="D323" s="1">
        <f t="shared" si="35"/>
        <v>-61223592.583317339</v>
      </c>
      <c r="E323" s="1">
        <f t="shared" si="36"/>
        <v>323841946.72560322</v>
      </c>
      <c r="F323" s="1">
        <f t="shared" si="32"/>
        <v>14070654284.223396</v>
      </c>
    </row>
    <row r="324" spans="1:6" x14ac:dyDescent="0.35">
      <c r="A324" s="1">
        <f t="shared" si="37"/>
        <v>322000000</v>
      </c>
      <c r="B324">
        <f t="shared" si="33"/>
        <v>797611.94711810246</v>
      </c>
      <c r="C324" s="1">
        <f t="shared" si="34"/>
        <v>165763837.3091211</v>
      </c>
      <c r="D324" s="1">
        <f t="shared" si="35"/>
        <v>-64019852.518500298</v>
      </c>
      <c r="E324" s="1">
        <f t="shared" si="36"/>
        <v>325527732.82555735</v>
      </c>
      <c r="F324" s="1">
        <f t="shared" si="32"/>
        <v>14071343361.836132</v>
      </c>
    </row>
    <row r="325" spans="1:6" x14ac:dyDescent="0.35">
      <c r="A325" s="1">
        <f t="shared" si="37"/>
        <v>323000000</v>
      </c>
      <c r="B325">
        <f t="shared" si="33"/>
        <v>799563.72113941191</v>
      </c>
      <c r="C325" s="1">
        <f t="shared" si="34"/>
        <v>166499855.27559865</v>
      </c>
      <c r="D325" s="1">
        <f t="shared" si="35"/>
        <v>-66851185.699788377</v>
      </c>
      <c r="E325" s="1">
        <f t="shared" si="36"/>
        <v>327216359.90978634</v>
      </c>
      <c r="F325" s="1">
        <f t="shared" si="32"/>
        <v>14072028308.440948</v>
      </c>
    </row>
    <row r="326" spans="1:6" x14ac:dyDescent="0.35">
      <c r="A326" s="1">
        <f t="shared" si="37"/>
        <v>324000000</v>
      </c>
      <c r="B326">
        <f t="shared" si="33"/>
        <v>801514.21574597678</v>
      </c>
      <c r="C326" s="1">
        <f t="shared" si="34"/>
        <v>167236850.95208916</v>
      </c>
      <c r="D326" s="1">
        <f t="shared" si="35"/>
        <v>-69717769.489344478</v>
      </c>
      <c r="E326" s="1">
        <f t="shared" si="36"/>
        <v>328907822.56150627</v>
      </c>
      <c r="F326" s="1">
        <f t="shared" si="32"/>
        <v>14072709157.193575</v>
      </c>
    </row>
    <row r="327" spans="1:6" x14ac:dyDescent="0.35">
      <c r="A327" s="1">
        <f t="shared" si="37"/>
        <v>325000000</v>
      </c>
      <c r="B327">
        <f t="shared" si="33"/>
        <v>803463.43572141568</v>
      </c>
      <c r="C327" s="1">
        <f t="shared" si="34"/>
        <v>167974822.61372101</v>
      </c>
      <c r="D327" s="1">
        <f t="shared" si="35"/>
        <v>-72619781.257741451</v>
      </c>
      <c r="E327" s="1">
        <f t="shared" si="36"/>
        <v>330602115.39167017</v>
      </c>
      <c r="F327" s="1">
        <f t="shared" si="32"/>
        <v>14073385941.554483</v>
      </c>
    </row>
    <row r="328" spans="1:6" x14ac:dyDescent="0.35">
      <c r="A328" s="1">
        <f t="shared" si="37"/>
        <v>326000000</v>
      </c>
      <c r="B328">
        <f t="shared" si="33"/>
        <v>805411.38581680215</v>
      </c>
      <c r="C328" s="1">
        <f t="shared" si="34"/>
        <v>168713768.5439676</v>
      </c>
      <c r="D328" s="1">
        <f t="shared" si="35"/>
        <v>-75557398.383897409</v>
      </c>
      <c r="E328" s="1">
        <f t="shared" si="36"/>
        <v>332299233.03874183</v>
      </c>
      <c r="F328" s="1">
        <f t="shared" si="32"/>
        <v>14074058695.186754</v>
      </c>
    </row>
    <row r="329" spans="1:6" x14ac:dyDescent="0.35">
      <c r="A329" s="1">
        <f t="shared" si="37"/>
        <v>327000000</v>
      </c>
      <c r="B329">
        <f t="shared" si="33"/>
        <v>807358.07075099333</v>
      </c>
      <c r="C329" s="1">
        <f t="shared" si="34"/>
        <v>169453687.03458151</v>
      </c>
      <c r="D329" s="1">
        <f t="shared" si="35"/>
        <v>-78530798.255009681</v>
      </c>
      <c r="E329" s="1">
        <f t="shared" si="36"/>
        <v>333999170.16846812</v>
      </c>
      <c r="F329" s="1">
        <f t="shared" si="32"/>
        <v>14074727451.871161</v>
      </c>
    </row>
    <row r="330" spans="1:6" x14ac:dyDescent="0.35">
      <c r="A330" s="1">
        <f t="shared" si="37"/>
        <v>328000000</v>
      </c>
      <c r="B330">
        <f t="shared" si="33"/>
        <v>809303.49521093117</v>
      </c>
      <c r="C330" s="1">
        <f t="shared" si="34"/>
        <v>170194576.38552788</v>
      </c>
      <c r="D330" s="1">
        <f t="shared" si="35"/>
        <v>-81540158.266487807</v>
      </c>
      <c r="E330" s="1">
        <f t="shared" si="36"/>
        <v>335701921.47365284</v>
      </c>
      <c r="F330" s="1">
        <f t="shared" si="32"/>
        <v>14075392245.435322</v>
      </c>
    </row>
    <row r="331" spans="1:6" x14ac:dyDescent="0.35">
      <c r="A331" s="1">
        <f t="shared" si="37"/>
        <v>329000000</v>
      </c>
      <c r="B331">
        <f t="shared" si="33"/>
        <v>811247.66385196405</v>
      </c>
      <c r="C331" s="1">
        <f t="shared" si="34"/>
        <v>170936434.90492141</v>
      </c>
      <c r="D331" s="1">
        <f t="shared" si="35"/>
        <v>-84585655.821891367</v>
      </c>
      <c r="E331" s="1">
        <f t="shared" si="36"/>
        <v>337407481.67393738</v>
      </c>
      <c r="F331" s="1">
        <f t="shared" si="32"/>
        <v>14076053109.694422</v>
      </c>
    </row>
    <row r="332" spans="1:6" x14ac:dyDescent="0.35">
      <c r="A332" s="1">
        <f t="shared" si="37"/>
        <v>330000000</v>
      </c>
      <c r="B332">
        <f t="shared" si="33"/>
        <v>813190.58129815361</v>
      </c>
      <c r="C332" s="1">
        <f t="shared" si="34"/>
        <v>171679260.90896177</v>
      </c>
      <c r="D332" s="1">
        <f t="shared" si="35"/>
        <v>-87667468.332864434</v>
      </c>
      <c r="E332" s="1">
        <f t="shared" si="36"/>
        <v>339115845.51557934</v>
      </c>
      <c r="F332" s="1">
        <f t="shared" si="32"/>
        <v>14076710078.40148</v>
      </c>
    </row>
    <row r="333" spans="1:6" x14ac:dyDescent="0.35">
      <c r="A333" s="1">
        <f t="shared" si="37"/>
        <v>331000000</v>
      </c>
      <c r="B333">
        <f t="shared" si="33"/>
        <v>815132.25214257976</v>
      </c>
      <c r="C333" s="1">
        <f t="shared" si="34"/>
        <v>172423052.72187126</v>
      </c>
      <c r="D333" s="1">
        <f t="shared" si="35"/>
        <v>-90785773.21907407</v>
      </c>
      <c r="E333" s="1">
        <f t="shared" si="36"/>
        <v>340827007.77123773</v>
      </c>
      <c r="F333" s="1">
        <f t="shared" si="32"/>
        <v>14077363185.205561</v>
      </c>
    </row>
    <row r="334" spans="1:6" x14ac:dyDescent="0.35">
      <c r="A334" s="1">
        <f t="shared" si="37"/>
        <v>332000000</v>
      </c>
      <c r="B334">
        <f t="shared" si="33"/>
        <v>817072.68094763695</v>
      </c>
      <c r="C334" s="1">
        <f t="shared" si="34"/>
        <v>173167808.67583159</v>
      </c>
      <c r="D334" s="1">
        <f t="shared" si="35"/>
        <v>-93940747.908146694</v>
      </c>
      <c r="E334" s="1">
        <f t="shared" si="36"/>
        <v>342540963.23975688</v>
      </c>
      <c r="F334" s="1">
        <f t="shared" si="32"/>
        <v>14078012463.616621</v>
      </c>
    </row>
    <row r="335" spans="1:6" x14ac:dyDescent="0.35">
      <c r="A335" s="1">
        <f t="shared" si="37"/>
        <v>333000000</v>
      </c>
      <c r="B335">
        <f t="shared" si="33"/>
        <v>819011.87224534166</v>
      </c>
      <c r="C335" s="1">
        <f t="shared" si="34"/>
        <v>173913527.1109238</v>
      </c>
      <c r="D335" s="1">
        <f t="shared" si="35"/>
        <v>-97132569.835607782</v>
      </c>
      <c r="E335" s="1">
        <f t="shared" si="36"/>
        <v>344257706.74595702</v>
      </c>
      <c r="F335" s="1">
        <f t="shared" si="32"/>
        <v>14078657946.975908</v>
      </c>
    </row>
    <row r="336" spans="1:6" x14ac:dyDescent="0.35">
      <c r="A336" s="1">
        <f t="shared" si="37"/>
        <v>334000000</v>
      </c>
      <c r="B336">
        <f t="shared" si="33"/>
        <v>820949.83053760801</v>
      </c>
      <c r="C336" s="1">
        <f t="shared" si="34"/>
        <v>174660206.37506443</v>
      </c>
      <c r="D336" s="1">
        <f t="shared" si="35"/>
        <v>-100361416.44481876</v>
      </c>
      <c r="E336" s="1">
        <f t="shared" si="36"/>
        <v>345977233.14041996</v>
      </c>
      <c r="F336" s="1">
        <f t="shared" si="32"/>
        <v>14079299668.431049</v>
      </c>
    </row>
    <row r="337" spans="1:6" x14ac:dyDescent="0.35">
      <c r="A337" s="1">
        <f t="shared" si="37"/>
        <v>335000000</v>
      </c>
      <c r="B337">
        <f t="shared" si="33"/>
        <v>822886.5602965568</v>
      </c>
      <c r="C337" s="1">
        <f t="shared" si="34"/>
        <v>175407844.8239488</v>
      </c>
      <c r="D337" s="1">
        <f t="shared" si="35"/>
        <v>-103627465.1869193</v>
      </c>
      <c r="E337" s="1">
        <f t="shared" si="36"/>
        <v>347699537.29928857</v>
      </c>
      <c r="F337" s="1">
        <f t="shared" si="32"/>
        <v>14079937660.915102</v>
      </c>
    </row>
    <row r="338" spans="1:6" x14ac:dyDescent="0.35">
      <c r="A338" s="1">
        <f t="shared" si="37"/>
        <v>336000000</v>
      </c>
      <c r="B338">
        <f t="shared" si="33"/>
        <v>824822.06596478214</v>
      </c>
      <c r="C338" s="1">
        <f t="shared" si="34"/>
        <v>176156440.8209874</v>
      </c>
      <c r="D338" s="1">
        <f t="shared" si="35"/>
        <v>-106930893.52076468</v>
      </c>
      <c r="E338" s="1">
        <f t="shared" si="36"/>
        <v>349424614.12405437</v>
      </c>
      <c r="F338" s="1">
        <f t="shared" si="32"/>
        <v>14080571957.128969</v>
      </c>
    </row>
    <row r="339" spans="1:6" x14ac:dyDescent="0.35">
      <c r="A339" s="1">
        <f t="shared" si="37"/>
        <v>337000000</v>
      </c>
      <c r="B339">
        <f t="shared" si="33"/>
        <v>826756.35195565107</v>
      </c>
      <c r="C339" s="1">
        <f t="shared" si="34"/>
        <v>176905992.73725039</v>
      </c>
      <c r="D339" s="1">
        <f t="shared" si="35"/>
        <v>-110271878.9128698</v>
      </c>
      <c r="E339" s="1">
        <f t="shared" si="36"/>
        <v>351152458.54136145</v>
      </c>
      <c r="F339" s="1">
        <f t="shared" si="32"/>
        <v>14081202589.526678</v>
      </c>
    </row>
    <row r="340" spans="1:6" x14ac:dyDescent="0.35">
      <c r="A340" s="1">
        <f t="shared" si="37"/>
        <v>338000000</v>
      </c>
      <c r="B340">
        <f t="shared" si="33"/>
        <v>828689.42265356868</v>
      </c>
      <c r="C340" s="1">
        <f t="shared" si="34"/>
        <v>177656498.95140657</v>
      </c>
      <c r="D340" s="1">
        <f t="shared" si="35"/>
        <v>-113650598.83734785</v>
      </c>
      <c r="E340" s="1">
        <f t="shared" si="36"/>
        <v>352883065.50280178</v>
      </c>
      <c r="F340" s="1">
        <f t="shared" si="32"/>
        <v>14081829590.303104</v>
      </c>
    </row>
    <row r="341" spans="1:6" x14ac:dyDescent="0.35">
      <c r="A341" s="1">
        <f t="shared" si="37"/>
        <v>339000000</v>
      </c>
      <c r="B341">
        <f t="shared" si="33"/>
        <v>830621.28241425974</v>
      </c>
      <c r="C341" s="1">
        <f t="shared" si="34"/>
        <v>178407957.84966648</v>
      </c>
      <c r="D341" s="1">
        <f t="shared" si="35"/>
        <v>-117067230.77585416</v>
      </c>
      <c r="E341" s="1">
        <f t="shared" si="36"/>
        <v>354616429.98471779</v>
      </c>
      <c r="F341" s="1">
        <f t="shared" si="32"/>
        <v>14082452991.383791</v>
      </c>
    </row>
    <row r="342" spans="1:6" x14ac:dyDescent="0.35">
      <c r="A342" s="1">
        <f t="shared" si="37"/>
        <v>340000000</v>
      </c>
      <c r="B342">
        <f t="shared" si="33"/>
        <v>832551.93556503952</v>
      </c>
      <c r="C342" s="1">
        <f t="shared" si="34"/>
        <v>179160367.82572559</v>
      </c>
      <c r="D342" s="1">
        <f t="shared" si="35"/>
        <v>-120521952.21752889</v>
      </c>
      <c r="E342" s="1">
        <f t="shared" si="36"/>
        <v>356352546.98800802</v>
      </c>
      <c r="F342" s="1">
        <f t="shared" si="32"/>
        <v>14083072824.416578</v>
      </c>
    </row>
    <row r="343" spans="1:6" x14ac:dyDescent="0.35">
      <c r="A343" s="1">
        <f t="shared" si="37"/>
        <v>341000000</v>
      </c>
      <c r="B343">
        <f t="shared" si="33"/>
        <v>834481.38640507788</v>
      </c>
      <c r="C343" s="1">
        <f t="shared" si="34"/>
        <v>179913727.2807065</v>
      </c>
      <c r="D343" s="1">
        <f t="shared" si="35"/>
        <v>-124014940.65893911</v>
      </c>
      <c r="E343" s="1">
        <f t="shared" si="36"/>
        <v>358091411.53793061</v>
      </c>
      <c r="F343" s="1">
        <f t="shared" si="32"/>
        <v>14083689120.764772</v>
      </c>
    </row>
    <row r="344" spans="1:6" x14ac:dyDescent="0.35">
      <c r="A344" s="1">
        <f t="shared" si="37"/>
        <v>342000000</v>
      </c>
      <c r="B344">
        <f t="shared" si="33"/>
        <v>836409.63920567406</v>
      </c>
      <c r="C344" s="1">
        <f t="shared" si="34"/>
        <v>180668034.62310401</v>
      </c>
      <c r="D344" s="1">
        <f t="shared" si="35"/>
        <v>-127546373.60402444</v>
      </c>
      <c r="E344" s="1">
        <f t="shared" si="36"/>
        <v>359833018.68391275</v>
      </c>
      <c r="F344" s="1">
        <f t="shared" si="32"/>
        <v>14084301911.501663</v>
      </c>
    </row>
    <row r="345" spans="1:6" x14ac:dyDescent="0.35">
      <c r="A345" s="1">
        <f t="shared" si="37"/>
        <v>343000000</v>
      </c>
      <c r="B345">
        <f t="shared" si="33"/>
        <v>838336.69821051287</v>
      </c>
      <c r="C345" s="1">
        <f t="shared" si="34"/>
        <v>181423288.26873013</v>
      </c>
      <c r="D345" s="1">
        <f t="shared" si="35"/>
        <v>-131116428.56404132</v>
      </c>
      <c r="E345" s="1">
        <f t="shared" si="36"/>
        <v>361577363.49936295</v>
      </c>
      <c r="F345" s="1">
        <f t="shared" si="32"/>
        <v>14084911227.406195</v>
      </c>
    </row>
    <row r="346" spans="1:6" x14ac:dyDescent="0.35">
      <c r="A346" s="1">
        <f t="shared" si="37"/>
        <v>344000000</v>
      </c>
      <c r="B346">
        <f t="shared" si="33"/>
        <v>840262.56763591047</v>
      </c>
      <c r="C346" s="1">
        <f t="shared" si="34"/>
        <v>182179486.64065629</v>
      </c>
      <c r="D346" s="1">
        <f t="shared" si="35"/>
        <v>-134725283.05750591</v>
      </c>
      <c r="E346" s="1">
        <f t="shared" si="36"/>
        <v>363324441.0814777</v>
      </c>
      <c r="F346" s="1">
        <f t="shared" si="32"/>
        <v>14085517098.959633</v>
      </c>
    </row>
    <row r="347" spans="1:6" x14ac:dyDescent="0.35">
      <c r="A347" s="1">
        <f t="shared" si="37"/>
        <v>345000000</v>
      </c>
      <c r="B347">
        <f t="shared" si="33"/>
        <v>842187.25167109456</v>
      </c>
      <c r="C347" s="1">
        <f t="shared" si="34"/>
        <v>182936628.1691626</v>
      </c>
      <c r="D347" s="1">
        <f t="shared" si="35"/>
        <v>-138373114.61014307</v>
      </c>
      <c r="E347" s="1">
        <f t="shared" si="36"/>
        <v>365074246.55106157</v>
      </c>
      <c r="F347" s="1">
        <f t="shared" si="32"/>
        <v>14086119556.343111</v>
      </c>
    </row>
    <row r="348" spans="1:6" x14ac:dyDescent="0.35">
      <c r="A348" s="1">
        <f t="shared" si="37"/>
        <v>346000000</v>
      </c>
      <c r="B348">
        <f t="shared" si="33"/>
        <v>844110.75447843701</v>
      </c>
      <c r="C348" s="1">
        <f t="shared" si="34"/>
        <v>183694711.29168212</v>
      </c>
      <c r="D348" s="1">
        <f t="shared" si="35"/>
        <v>-142060100.7548303</v>
      </c>
      <c r="E348" s="1">
        <f t="shared" si="36"/>
        <v>366826775.05234092</v>
      </c>
      <c r="F348" s="1">
        <f t="shared" si="32"/>
        <v>14086718629.43593</v>
      </c>
    </row>
    <row r="349" spans="1:6" x14ac:dyDescent="0.35">
      <c r="A349" s="1">
        <f t="shared" si="37"/>
        <v>347000000</v>
      </c>
      <c r="B349">
        <f t="shared" si="33"/>
        <v>846033.08019371564</v>
      </c>
      <c r="C349" s="1">
        <f t="shared" si="34"/>
        <v>184453734.45274824</v>
      </c>
      <c r="D349" s="1">
        <f t="shared" si="35"/>
        <v>-145786419.0315457</v>
      </c>
      <c r="E349" s="1">
        <f t="shared" si="36"/>
        <v>368582021.75278181</v>
      </c>
      <c r="F349" s="1">
        <f t="shared" si="32"/>
        <v>14087314347.814508</v>
      </c>
    </row>
    <row r="350" spans="1:6" x14ac:dyDescent="0.35">
      <c r="A350" s="1">
        <f t="shared" si="37"/>
        <v>348000000</v>
      </c>
      <c r="B350">
        <f t="shared" si="33"/>
        <v>847954.23292634927</v>
      </c>
      <c r="C350" s="1">
        <f t="shared" si="34"/>
        <v>185213696.10394183</v>
      </c>
      <c r="D350" s="1">
        <f t="shared" si="35"/>
        <v>-149552246.98731488</v>
      </c>
      <c r="E350" s="1">
        <f t="shared" si="36"/>
        <v>370339981.84291154</v>
      </c>
      <c r="F350" s="1">
        <f t="shared" si="32"/>
        <v>14087906740.751902</v>
      </c>
    </row>
    <row r="351" spans="1:6" x14ac:dyDescent="0.35">
      <c r="A351" s="1">
        <f t="shared" si="37"/>
        <v>349000000</v>
      </c>
      <c r="B351">
        <f t="shared" si="33"/>
        <v>849874.21675964352</v>
      </c>
      <c r="C351" s="1">
        <f t="shared" si="34"/>
        <v>185974594.7038388</v>
      </c>
      <c r="D351" s="1">
        <f t="shared" si="35"/>
        <v>-153357762.17615819</v>
      </c>
      <c r="E351" s="1">
        <f t="shared" si="36"/>
        <v>372100650.53613931</v>
      </c>
      <c r="F351" s="1">
        <f t="shared" si="32"/>
        <v>14088495837.217833</v>
      </c>
    </row>
    <row r="352" spans="1:6" x14ac:dyDescent="0.35">
      <c r="A352" s="1">
        <f t="shared" si="37"/>
        <v>350000000</v>
      </c>
      <c r="B352">
        <f t="shared" si="33"/>
        <v>851793.03575104242</v>
      </c>
      <c r="C352" s="1">
        <f t="shared" si="34"/>
        <v>186736428.71795934</v>
      </c>
      <c r="D352" s="1">
        <f t="shared" si="35"/>
        <v>-157203142.15904069</v>
      </c>
      <c r="E352" s="1">
        <f t="shared" si="36"/>
        <v>373864023.06858075</v>
      </c>
      <c r="F352" s="1">
        <f t="shared" si="32"/>
        <v>14089081665.879139</v>
      </c>
    </row>
    <row r="353" spans="1:6" x14ac:dyDescent="0.35">
      <c r="A353" s="1">
        <f t="shared" si="37"/>
        <v>351000000</v>
      </c>
      <c r="B353">
        <f t="shared" si="33"/>
        <v>853710.69393235235</v>
      </c>
      <c r="C353" s="1">
        <f t="shared" si="34"/>
        <v>187499196.61871684</v>
      </c>
      <c r="D353" s="1">
        <f t="shared" si="35"/>
        <v>-161088564.50382015</v>
      </c>
      <c r="E353" s="1">
        <f t="shared" si="36"/>
        <v>375630094.69888556</v>
      </c>
      <c r="F353" s="1">
        <f t="shared" si="32"/>
        <v>14089664255.100605</v>
      </c>
    </row>
    <row r="354" spans="1:6" x14ac:dyDescent="0.35">
      <c r="A354" s="1">
        <f t="shared" si="37"/>
        <v>352000000</v>
      </c>
      <c r="B354">
        <f t="shared" si="33"/>
        <v>855627.19530998066</v>
      </c>
      <c r="C354" s="1">
        <f t="shared" si="34"/>
        <v>188262896.8853665</v>
      </c>
      <c r="D354" s="1">
        <f t="shared" si="35"/>
        <v>-165014206.78519654</v>
      </c>
      <c r="E354" s="1">
        <f t="shared" si="36"/>
        <v>377398860.70806253</v>
      </c>
      <c r="F354" s="1">
        <f t="shared" si="32"/>
        <v>14090243632.946117</v>
      </c>
    </row>
    <row r="355" spans="1:6" x14ac:dyDescent="0.35">
      <c r="A355" s="1">
        <f t="shared" si="37"/>
        <v>353000000</v>
      </c>
      <c r="B355">
        <f t="shared" si="33"/>
        <v>857542.5438651673</v>
      </c>
      <c r="C355" s="1">
        <f t="shared" si="34"/>
        <v>189027528.00395578</v>
      </c>
      <c r="D355" s="1">
        <f t="shared" si="35"/>
        <v>-168980246.58466205</v>
      </c>
      <c r="E355" s="1">
        <f t="shared" si="36"/>
        <v>379170316.39931005</v>
      </c>
      <c r="F355" s="1">
        <f t="shared" si="32"/>
        <v>14090819827.180107</v>
      </c>
    </row>
    <row r="356" spans="1:6" x14ac:dyDescent="0.35">
      <c r="A356" s="1">
        <f t="shared" si="37"/>
        <v>354000000</v>
      </c>
      <c r="B356">
        <f t="shared" si="33"/>
        <v>859456.74355421506</v>
      </c>
      <c r="C356" s="1">
        <f t="shared" si="34"/>
        <v>189793088.46727484</v>
      </c>
      <c r="D356" s="1">
        <f t="shared" si="35"/>
        <v>-172986861.49045125</v>
      </c>
      <c r="E356" s="1">
        <f t="shared" si="36"/>
        <v>380944457.09784722</v>
      </c>
      <c r="F356" s="1">
        <f t="shared" si="32"/>
        <v>14091392865.269243</v>
      </c>
    </row>
    <row r="357" spans="1:6" x14ac:dyDescent="0.35">
      <c r="A357" s="1">
        <f t="shared" si="37"/>
        <v>355000000</v>
      </c>
      <c r="B357">
        <f t="shared" si="33"/>
        <v>861369.79830871825</v>
      </c>
      <c r="C357" s="1">
        <f t="shared" si="34"/>
        <v>190559576.77480856</v>
      </c>
      <c r="D357" s="1">
        <f t="shared" si="35"/>
        <v>-177034229.09749377</v>
      </c>
      <c r="E357" s="1">
        <f t="shared" si="36"/>
        <v>382721278.15074921</v>
      </c>
      <c r="F357" s="1">
        <f t="shared" si="32"/>
        <v>14091962774.384333</v>
      </c>
    </row>
    <row r="358" spans="1:6" x14ac:dyDescent="0.35">
      <c r="A358" s="1">
        <f t="shared" si="37"/>
        <v>356000000</v>
      </c>
      <c r="B358">
        <f t="shared" si="33"/>
        <v>863281.712035776</v>
      </c>
      <c r="C358" s="1">
        <f t="shared" si="34"/>
        <v>191326991.43268561</v>
      </c>
      <c r="D358" s="1">
        <f t="shared" si="35"/>
        <v>-181122527.00736305</v>
      </c>
      <c r="E358" s="1">
        <f t="shared" si="36"/>
        <v>384500774.92677748</v>
      </c>
      <c r="F358" s="1">
        <f t="shared" si="32"/>
        <v>14092529581.402407</v>
      </c>
    </row>
    <row r="359" spans="1:6" x14ac:dyDescent="0.35">
      <c r="A359" s="1">
        <f t="shared" si="37"/>
        <v>357000000</v>
      </c>
      <c r="B359">
        <f t="shared" si="33"/>
        <v>865192.48861822253</v>
      </c>
      <c r="C359" s="1">
        <f t="shared" si="34"/>
        <v>192095330.95363277</v>
      </c>
      <c r="D359" s="1">
        <f t="shared" si="35"/>
        <v>-185251932.82823023</v>
      </c>
      <c r="E359" s="1">
        <f t="shared" si="36"/>
        <v>386282942.81622052</v>
      </c>
      <c r="F359" s="1">
        <f t="shared" si="32"/>
        <v>14093093312.908976</v>
      </c>
    </row>
    <row r="360" spans="1:6" x14ac:dyDescent="0.35">
      <c r="A360" s="1">
        <f t="shared" si="37"/>
        <v>358000000</v>
      </c>
      <c r="B360">
        <f t="shared" si="33"/>
        <v>867102.1319148516</v>
      </c>
      <c r="C360" s="1">
        <f t="shared" si="34"/>
        <v>192864593.85692739</v>
      </c>
      <c r="D360" s="1">
        <f t="shared" si="35"/>
        <v>-189422624.17481759</v>
      </c>
      <c r="E360" s="1">
        <f t="shared" si="36"/>
        <v>388067777.23073167</v>
      </c>
      <c r="F360" s="1">
        <f t="shared" si="32"/>
        <v>14093653995.200413</v>
      </c>
    </row>
    <row r="361" spans="1:6" x14ac:dyDescent="0.35">
      <c r="A361" s="1">
        <f t="shared" si="37"/>
        <v>359000000</v>
      </c>
      <c r="B361">
        <f t="shared" si="33"/>
        <v>869010.64576060791</v>
      </c>
      <c r="C361" s="1">
        <f t="shared" si="34"/>
        <v>193634778.66834733</v>
      </c>
      <c r="D361" s="1">
        <f t="shared" si="35"/>
        <v>-193634778.66834733</v>
      </c>
      <c r="E361" s="1">
        <f t="shared" si="36"/>
        <v>389855273.60316479</v>
      </c>
      <c r="F361" s="1">
        <f t="shared" si="32"/>
        <v>14094211654.286461</v>
      </c>
    </row>
    <row r="362" spans="1:6" x14ac:dyDescent="0.35">
      <c r="A362" s="1">
        <f t="shared" si="37"/>
        <v>360000000</v>
      </c>
      <c r="B362">
        <f t="shared" si="33"/>
        <v>870918.0339668314</v>
      </c>
      <c r="C362" s="1">
        <f t="shared" si="34"/>
        <v>194405883.92012855</v>
      </c>
      <c r="D362" s="1">
        <f t="shared" si="35"/>
        <v>-197888573.93650019</v>
      </c>
      <c r="E362" s="1">
        <f t="shared" si="36"/>
        <v>391645427.38742191</v>
      </c>
      <c r="F362" s="1">
        <f t="shared" si="32"/>
        <v>14094766315.89283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normal</vt:lpstr>
      <vt:lpstr>modified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e</dc:creator>
  <cp:lastModifiedBy>e e</cp:lastModifiedBy>
  <dcterms:created xsi:type="dcterms:W3CDTF">2025-01-07T19:25:51Z</dcterms:created>
  <dcterms:modified xsi:type="dcterms:W3CDTF">2025-01-13T18:27:52Z</dcterms:modified>
</cp:coreProperties>
</file>